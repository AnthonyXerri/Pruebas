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Datos necesarios" sheetId="2" state="visible" r:id="rId4"/>
    <sheet name="Etapas y fechas" sheetId="3" state="visible" r:id="rId5"/>
    <sheet name="KPIs y datos" sheetId="4" state="visible" r:id="rId6"/>
    <sheet name="Dimensiones" sheetId="5" state="visible" r:id="rId7"/>
    <sheet name="Preguntas" sheetId="6" state="visible" r:id="rId8"/>
  </sheets>
  <definedNames>
    <definedName function="false" hidden="true" localSheetId="1" name="_xlnm._FilterDatabase" vbProcedure="false">'Datos necesarios'!$A$4:$P$30</definedName>
    <definedName function="false" hidden="true" localSheetId="4" name="_xlnm._FilterDatabase" vbProcedure="false">Dimensiones!$A$4:$G$15</definedName>
    <definedName function="false" hidden="true" localSheetId="2" name="_xlnm._FilterDatabase" vbProcedure="false">'Etapas y fechas'!$A$4:$K$27</definedName>
    <definedName function="false" hidden="true" localSheetId="3" name="_xlnm._FilterDatabase" vbProcedure="false">'KPIs y datos'!$A$4:$D$25</definedName>
    <definedName function="false" hidden="true" localSheetId="5" name="_xlnm._FilterDatabase" vbProcedure="false">Preguntas!$A$4:$F$19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<sst xmlns="http://schemas.openxmlformats.org/spreadsheetml/2006/main" count="667" uniqueCount="469">
  <si>
    <t xml:space="preserve">Datos necesarios para el cuadro de mando de Ayudas por gestación, nacimiento o adopción</t>
  </si>
  <si>
    <t xml:space="preserve">Para qué es</t>
  </si>
  <si>
    <t xml:space="preserve">Validar con Soluciones que los sistemas (eReg, Atlantix, NOTE, Nexus, D029) tienen cada dato que usa el cuadro de mando del mockup v18.</t>
  </si>
  <si>
    <t xml:space="preserve">Cómo rellenarlo</t>
  </si>
  <si>
    <t xml:space="preserve">En cada hoja, las columnas con cabecera marrón y celdas amarillas son para Soluciones. «¿Disponible?» se elige de una lista: Sí, Parcial, No, A confirmar.</t>
  </si>
  <si>
    <t xml:space="preserve">Ejemplo</t>
  </si>
  <si>
    <t xml:space="preserve">La primera fila gris de «Datos necesarios» muestra cómo se rellena una fila.</t>
  </si>
  <si>
    <t xml:space="preserve">Prioridad</t>
  </si>
  <si>
    <t xml:space="preserve">Imprescindible: sin él cae un KPI de la cabecera. Importante: se pierde un gráfico o un detalle. Deseable: mejora, pero no se muestra aún.</t>
  </si>
  <si>
    <t xml:space="preserve">Hojas</t>
  </si>
  <si>
    <t xml:space="preserve">Datos necesarios (qué pedimos) · Etapas y fechas (registro de eventos) · KPIs y datos (qué se cae si falta algo) · Dimensiones (filtros y composición) · Preguntas (lo que hay que confirmar).</t>
  </si>
  <si>
    <t xml:space="preserve">Datos personales</t>
  </si>
  <si>
    <t xml:space="preserve">No hace falta ningún dato identificativo: el expediente puede ir seudonimizado y la edad en tramos.</t>
  </si>
  <si>
    <t xml:space="preserve">Resumen (se actualiza al rellenar)</t>
  </si>
  <si>
    <t xml:space="preserve">Datos</t>
  </si>
  <si>
    <t xml:space="preserve">Sí</t>
  </si>
  <si>
    <t xml:space="preserve">Parcial</t>
  </si>
  <si>
    <t xml:space="preserve">No</t>
  </si>
  <si>
    <t xml:space="preserve">Sin responder</t>
  </si>
  <si>
    <t xml:space="preserve">Imprescindible</t>
  </si>
  <si>
    <t xml:space="preserve">Importante</t>
  </si>
  <si>
    <t xml:space="preserve">Deseable</t>
  </si>
  <si>
    <t xml:space="preserve">Total</t>
  </si>
  <si>
    <t xml:space="preserve">Mockup de referencia: MockupNatalidad_v18.html (datos ficticios e ilustrativos).</t>
  </si>
  <si>
    <t xml:space="preserve">Datos que necesita el cuadro de mando · Ayudas por gestación, nacimiento o adopción</t>
  </si>
  <si>
    <t xml:space="preserve">Una fila por dato. Columnas azules: lo que pedimos. Columnas en marrón y celdas amarillas: para que lo rellene Soluciones. La primera fila gris es un ejemplo de cómo rellenarla.</t>
  </si>
  <si>
    <t xml:space="preserve">ID</t>
  </si>
  <si>
    <t xml:space="preserve">Bloque</t>
  </si>
  <si>
    <t xml:space="preserve">Dato</t>
  </si>
  <si>
    <t xml:space="preserve">Descripción</t>
  </si>
  <si>
    <t xml:space="preserve">Campos mínimos</t>
  </si>
  <si>
    <t xml:space="preserve">Nivel de detalle</t>
  </si>
  <si>
    <t xml:space="preserve">Sistema de origen (previsto)</t>
  </si>
  <si>
    <t xml:space="preserve">Para qué se usa en el cuadro</t>
  </si>
  <si>
    <t xml:space="preserve">Histórico deseado</t>
  </si>
  <si>
    <t xml:space="preserve">¿Disponible?</t>
  </si>
  <si>
    <t xml:space="preserve">Tabla, vista o pantalla</t>
  </si>
  <si>
    <t xml:space="preserve">Nombre real de los campos</t>
  </si>
  <si>
    <t xml:space="preserve">Histórico disponible desde</t>
  </si>
  <si>
    <t xml:space="preserve">Persona de contacto</t>
  </si>
  <si>
    <t xml:space="preserve">Observaciones</t>
  </si>
  <si>
    <t xml:space="preserve">Ej.</t>
  </si>
  <si>
    <t xml:space="preserve">Expediente</t>
  </si>
  <si>
    <t xml:space="preserve">(ejemplo)</t>
  </si>
  <si>
    <t xml:space="preserve">Atlantix (AEFN)</t>
  </si>
  <si>
    <t xml:space="preserve">Desde 2022</t>
  </si>
  <si>
    <t xml:space="preserve">Vista AEFN_EXPEDIENTES</t>
  </si>
  <si>
    <t xml:space="preserve">NUM_EXP, F_ALTA, COD_TIPO</t>
  </si>
  <si>
    <t xml:space="preserve">2021</t>
  </si>
  <si>
    <t xml:space="preserve">Nombre de quien lo conoce</t>
  </si>
  <si>
    <t xml:space="preserve">Falta la fecha de última actuación</t>
  </si>
  <si>
    <t xml:space="preserve">D01</t>
  </si>
  <si>
    <t xml:space="preserve">Registro (entrada)</t>
  </si>
  <si>
    <t xml:space="preserve">Asientos de entrada en registro</t>
  </si>
  <si>
    <t xml:space="preserve">Todo lo que entra por registro para el procedimiento de la ayuda: solicitudes y aportaciones.</t>
  </si>
  <si>
    <t xml:space="preserve">Nº de registro · fecha y hora del asiento · procedimiento · tipo de documento (solicitud F1, aportación, comunicación, genérica) · canal (sede, oficina, ORVE) · marca de anulado y de duplicado técnico</t>
  </si>
  <si>
    <t xml:space="preserve">Un registro por asiento</t>
  </si>
  <si>
    <t xml:space="preserve">eReg</t>
  </si>
  <si>
    <t xml:space="preserve">Entradas en registro · Solicitudes recibidas · Aportaciones · canal · tiempos desde el registro</t>
  </si>
  <si>
    <t xml:space="preserve">D02</t>
  </si>
  <si>
    <t xml:space="preserve">Vínculo registro ↔ expediente</t>
  </si>
  <si>
    <t xml:space="preserve">Qué asiento de eReg corresponde a cada expediente de Atlantix (la solicitud y sus aportaciones).</t>
  </si>
  <si>
    <t xml:space="preserve">Nº de registro · nº de expediente · tipo de vínculo (solicitud inicial / aportación)</t>
  </si>
  <si>
    <t xml:space="preserve">Un registro por vínculo</t>
  </si>
  <si>
    <t xml:space="preserve">eReg + Atlantix</t>
  </si>
  <si>
    <t xml:space="preserve">Pendientes de alta · Registro → alta · aportaciones por expediente</t>
  </si>
  <si>
    <t xml:space="preserve">D03</t>
  </si>
  <si>
    <t xml:space="preserve">Bandeja de registros de Atlantix</t>
  </si>
  <si>
    <t xml:space="preserve">Registros que llegan a la bandeja y aún no tienen expediente dado de alta, o que se descartan.</t>
  </si>
  <si>
    <t xml:space="preserve">Nº de registro · fecha de entrada en bandeja · fecha de alta o de descarte · motivo de descarte (duplicada…)</t>
  </si>
  <si>
    <t xml:space="preserve">Atlantix</t>
  </si>
  <si>
    <t xml:space="preserve">Pendientes de alta y su antigüedad · Entrada (registro-alta) · duplicadas</t>
  </si>
  <si>
    <t xml:space="preserve">Foto diaria o histórico</t>
  </si>
  <si>
    <t xml:space="preserve">D04</t>
  </si>
  <si>
    <t xml:space="preserve">Datos del expediente</t>
  </si>
  <si>
    <t xml:space="preserve">Cabecera de cada expediente de la ayuda.</t>
  </si>
  <si>
    <t xml:space="preserve">Nº de expediente (puede ir seudonimizado) · nº de registro de origen · fecha de alta · año de solicitud · tipo de solicitud · nº de hijos · etapa actual · fecha de la última actuación</t>
  </si>
  <si>
    <t xml:space="preserve">Un registro por expediente</t>
  </si>
  <si>
    <t xml:space="preserve">Expedientes dados de alta · stock · composición · expedientes en suspensión</t>
  </si>
  <si>
    <t xml:space="preserve">D05</t>
  </si>
  <si>
    <t xml:space="preserve">Bitácora de etapas (registro de eventos)</t>
  </si>
  <si>
    <t xml:space="preserve">Cada cambio de etapa del expediente con sus fechas. Es la base del registro de eventos de Celonis.</t>
  </si>
  <si>
    <t xml:space="preserve">Nº de expediente · etapa · fecha de inicio · fecha de fin · etapa siguiente · (opcional) unidad o usuario seudonimizado</t>
  </si>
  <si>
    <t xml:space="preserve">Un registro por cambio de etapa</t>
  </si>
  <si>
    <t xml:space="preserve">Tiempos por fase · retrabajos · stock por fase · explorador de procesos · detalle de cada fase</t>
  </si>
  <si>
    <t xml:space="preserve">D06</t>
  </si>
  <si>
    <t xml:space="preserve">Datos del formulario de solicitud</t>
  </si>
  <si>
    <t xml:space="preserve">Atributos de la solicitante y del hecho causante para filtros y composición.</t>
  </si>
  <si>
    <t xml:space="preserve">Tipo de solicitud (nacimiento, gestación, adopción) · fecha de nacimiento o de parto previsto · edad o año de nacimiento de la solicitante · nacionalidad · país de nacimiento · municipio de residencia · nº de hijos</t>
  </si>
  <si>
    <t xml:space="preserve">Formulario (eReg / Atlantix)</t>
  </si>
  <si>
    <t xml:space="preserve">Filtro «Tipo de solicitud» · Composición</t>
  </si>
  <si>
    <t xml:space="preserve">D07</t>
  </si>
  <si>
    <t xml:space="preserve">Gestión del expediente</t>
  </si>
  <si>
    <t xml:space="preserve">Requerimientos</t>
  </si>
  <si>
    <t xml:space="preserve">Requerimientos de subsanación y su resultado.</t>
  </si>
  <si>
    <t xml:space="preserve">Nº de expediente · fecha del requerimiento · documentación requerida · fecha fin de plazo · fecha de aportación o de fin de etapa · resultado</t>
  </si>
  <si>
    <t xml:space="preserve">Un registro por requerimiento</t>
  </si>
  <si>
    <t xml:space="preserve">Retrabajo (2.º requerimiento) · detalle de Gestión del expediente · desistimientos</t>
  </si>
  <si>
    <t xml:space="preserve">D08</t>
  </si>
  <si>
    <t xml:space="preserve">Notificaciones</t>
  </si>
  <si>
    <t xml:space="preserve">Puesta a disposición y acuse de las notificaciones de requerimiento.</t>
  </si>
  <si>
    <t xml:space="preserve">Nº de expediente · fecha de puesta a disposición · fecha de acceso o acuse · rechazo o caducidad · medio (NOTE, correo)</t>
  </si>
  <si>
    <t xml:space="preserve">Un registro por notificación</t>
  </si>
  <si>
    <t xml:space="preserve">NOTE</t>
  </si>
  <si>
    <t xml:space="preserve">Plazo de aportación · tiempo que depende de la solicitante</t>
  </si>
  <si>
    <t xml:space="preserve">D09</t>
  </si>
  <si>
    <t xml:space="preserve">Propuesta favorable y pagos propuestos</t>
  </si>
  <si>
    <t xml:space="preserve">La propuesta favorable con los pagos que calcula AEFN (atrasos, mensualidad de la nómina propuesta y resto del año).</t>
  </si>
  <si>
    <t xml:space="preserve">Nº de expediente · fecha de la propuesta · nómina propuesta (mes) · importe propuesto por mes y concepto · fecha y motivo si se deshace</t>
  </si>
  <si>
    <t xml:space="preserve">Un registro por propuesta</t>
  </si>
  <si>
    <t xml:space="preserve">Gestión económica · Propuesto en Atlantix · Cierre previsto · Margen para nuevas altas</t>
  </si>
  <si>
    <t xml:space="preserve">Desde 2025</t>
  </si>
  <si>
    <t xml:space="preserve">D10</t>
  </si>
  <si>
    <t xml:space="preserve">Resolución</t>
  </si>
  <si>
    <t xml:space="preserve">Resoluciones</t>
  </si>
  <si>
    <t xml:space="preserve">Resolución firmada del expediente.</t>
  </si>
  <si>
    <t xml:space="preserve">Nº de expediente · tipo (Favorable Concesión, Denegación, Desestimiento) · fecha de firma · requisito incumplido (denegación) · motivo (desistimiento)</t>
  </si>
  <si>
    <t xml:space="preserve">Un registro por resolución</t>
  </si>
  <si>
    <t xml:space="preserve">Expedientes resueltos · denegados o desistidos · resueltos favorables · Tiempo E2E · incumplimiento de plazo</t>
  </si>
  <si>
    <t xml:space="preserve">D11</t>
  </si>
  <si>
    <t xml:space="preserve">Validación de terceros</t>
  </si>
  <si>
    <t xml:space="preserve">Terceros</t>
  </si>
  <si>
    <t xml:space="preserve">Envío del fichero de terceros a gestión económica y su resultado en Nexus.</t>
  </si>
  <si>
    <t xml:space="preserve">Nº de expediente · fecha del fichero · fecha de alta del tercero en Nexus o de rechazo · motivo de rechazo · fecha de carga en Atlantix</t>
  </si>
  <si>
    <t xml:space="preserve">Un registro por envío</t>
  </si>
  <si>
    <t xml:space="preserve">Atlantix + Nexus</t>
  </si>
  <si>
    <t xml:space="preserve">Detalle de Validación de terceros · retrabajo (tercero rechazado) · tiempo de gestión económica</t>
  </si>
  <si>
    <t xml:space="preserve">Desde 2023</t>
  </si>
  <si>
    <t xml:space="preserve">D12</t>
  </si>
  <si>
    <t xml:space="preserve">Intervención</t>
  </si>
  <si>
    <t xml:space="preserve">Fiscalización (D029)</t>
  </si>
  <si>
    <t xml:space="preserve">Envío a la Intervención Delegada y su respuesta.</t>
  </si>
  <si>
    <t xml:space="preserve">Nº de expediente · nº de lote · fecha de envío · fecha de respuesta · tipo de respuesta (Favorable, con OBS, No fiscalizable, Desfavorable, Actuación interesada, Dev. a instancia promo)</t>
  </si>
  <si>
    <t xml:space="preserve">Atlantix (D029)</t>
  </si>
  <si>
    <t xml:space="preserve">Detalle de Intervención · retrabajo (respuesta desfavorable) · composición (respuesta)</t>
  </si>
  <si>
    <t xml:space="preserve">D13</t>
  </si>
  <si>
    <t xml:space="preserve">Nómina</t>
  </si>
  <si>
    <t xml:space="preserve">Remesas de nómina</t>
  </si>
  <si>
    <t xml:space="preserve">Lo pagado a cada beneficiaria en cada remesa mensual.</t>
  </si>
  <si>
    <t xml:space="preserve">Nº de expediente · mes de la nómina · fecha de pago · importe por concepto (mensualidad, atrasos, pago único, regularización) · tipo (alta, mantenimiento, pago único) · nº de hijos</t>
  </si>
  <si>
    <t xml:space="preserve">Un registro por expediente y remesa</t>
  </si>
  <si>
    <t xml:space="preserve">Atlantix (nómina) + Nexus</t>
  </si>
  <si>
    <t xml:space="preserve">Nuevas altas en nómina · Beneficiarias activas (mantenimiento) · Pagos únicos · Beneficiarias inactivas · atrasos</t>
  </si>
  <si>
    <t xml:space="preserve">D14</t>
  </si>
  <si>
    <t xml:space="preserve">Fin del derecho y bajas</t>
  </si>
  <si>
    <t xml:space="preserve">Cuándo y por qué deja de cobrar una beneficiaria.</t>
  </si>
  <si>
    <t xml:space="preserve">Nº de expediente · fecha de fin del derecho (el menor cumple 2 años) · fecha de baja · motivo de baja</t>
  </si>
  <si>
    <t xml:space="preserve">Beneficiarias inactivas</t>
  </si>
  <si>
    <t xml:space="preserve">D15</t>
  </si>
  <si>
    <t xml:space="preserve">Gestión económica</t>
  </si>
  <si>
    <t xml:space="preserve">Línea y convocatoria del expediente</t>
  </si>
  <si>
    <t xml:space="preserve">A qué línea presupuestaria (año del alta en nómina) y convocatoria o agrupación pertenece cada expediente.</t>
  </si>
  <si>
    <t xml:space="preserve">Nº de expediente · línea · convocatoria / agrupación (combo de Atlantix) · anualidades afectadas</t>
  </si>
  <si>
    <t xml:space="preserve">Tabla de ejecución por línea · beneficiarias por línea</t>
  </si>
  <si>
    <t xml:space="preserve">D16</t>
  </si>
  <si>
    <t xml:space="preserve">Datos singulares económicos del expediente</t>
  </si>
  <si>
    <t xml:space="preserve">Pagos previstos y realizados por expediente y mes que guarda Atlantix (según Sofía y Enrique, 15/10).</t>
  </si>
  <si>
    <t xml:space="preserve">Nº de expediente · mes · importe propuesto · importe ejecutado · acumulado · total</t>
  </si>
  <si>
    <t xml:space="preserve">Un registro por expediente y mes</t>
  </si>
  <si>
    <t xml:space="preserve">Dispuesto pendiente de pagar · cierre previsto · comprobación con la contabilidad</t>
  </si>
  <si>
    <t xml:space="preserve">D17</t>
  </si>
  <si>
    <t xml:space="preserve">Crédito autorizado (A)</t>
  </si>
  <si>
    <t xml:space="preserve">Crédito aprobado por línea y anualidad.</t>
  </si>
  <si>
    <t xml:space="preserve">Línea · anualidad · importe autorizado · fecha</t>
  </si>
  <si>
    <t xml:space="preserve">Un registro por línea y anualidad</t>
  </si>
  <si>
    <t xml:space="preserve">Nexus (contabilidad) o Atlantix</t>
  </si>
  <si>
    <t xml:space="preserve">Ejecución presupuestaria · tabla de gestión económica</t>
  </si>
  <si>
    <t xml:space="preserve">D18</t>
  </si>
  <si>
    <t xml:space="preserve">Crédito dispuesto (D y D_COM)</t>
  </si>
  <si>
    <t xml:space="preserve">Gasto comprometido con beneficiarias concretas, con sus movimientos de alta, baja y modificación.</t>
  </si>
  <si>
    <t xml:space="preserve">Línea · anualidad · importe dispuesto · tipo de movimiento (alta, baja, modificación) · fecha · nº de expediente si existe</t>
  </si>
  <si>
    <t xml:space="preserve">Un registro por movimiento</t>
  </si>
  <si>
    <t xml:space="preserve">Dispuesto · pendiente de disponer · cierre previsto</t>
  </si>
  <si>
    <t xml:space="preserve">D19</t>
  </si>
  <si>
    <t xml:space="preserve">Crédito ejecutado (OK)</t>
  </si>
  <si>
    <t xml:space="preserve">Obligaciones reconocidas y pagadas (nóminas contabilizadas).</t>
  </si>
  <si>
    <t xml:space="preserve">Línea · anualidad · importe · fecha de contabilización · remesa</t>
  </si>
  <si>
    <t xml:space="preserve">Nexus (contabilidad)</t>
  </si>
  <si>
    <t xml:space="preserve">Ejecución presupuestaria · ejecutado</t>
  </si>
  <si>
    <t xml:space="preserve">D20</t>
  </si>
  <si>
    <t xml:space="preserve">Mantenimiento</t>
  </si>
  <si>
    <t xml:space="preserve">Modificaciones y bajas en mantenimiento</t>
  </si>
  <si>
    <t xml:space="preserve">Cambios sobre expedientes ya en nómina (cuenta, NIE a NIF, inclusión de hijos, baja).</t>
  </si>
  <si>
    <t xml:space="preserve">Nº de expediente · tipo de modificación · repercusión económica (sin, positiva, negativa) · fechas de cada etapa · fecha de efecto</t>
  </si>
  <si>
    <t xml:space="preserve">Un registro por modificación</t>
  </si>
  <si>
    <t xml:space="preserve">Regularizaciones de nómina (no se muestra en esta versión)</t>
  </si>
  <si>
    <t xml:space="preserve">Desde 2024</t>
  </si>
  <si>
    <t xml:space="preserve">D21</t>
  </si>
  <si>
    <t xml:space="preserve">Configuración</t>
  </si>
  <si>
    <t xml:space="preserve">Catálogo de etapas y transiciones</t>
  </si>
  <si>
    <t xml:space="preserve">Las etapas de Atlantix del procedimiento y a cuáles se puede pasar desde cada una.</t>
  </si>
  <si>
    <t xml:space="preserve">Código y nombre de etapa · etapa de destino permitida · descripción</t>
  </si>
  <si>
    <t xml:space="preserve">Catálogo</t>
  </si>
  <si>
    <t xml:space="preserve">Atlantix (parametrización)</t>
  </si>
  <si>
    <t xml:space="preserve">Ordenar las fases del cuadro y el explorador; detectar vueltas atrás</t>
  </si>
  <si>
    <t xml:space="preserve">Vigente</t>
  </si>
  <si>
    <t xml:space="preserve">D22</t>
  </si>
  <si>
    <t xml:space="preserve">Calendario mensual de nómina</t>
  </si>
  <si>
    <t xml:space="preserve">Fechas que marcan el ritmo de cada mes.</t>
  </si>
  <si>
    <t xml:space="preserve">Mes · fecha del fichero de terceros · fecha de envío a la Intervención · fecha de cierre de la nómina · fecha de pago</t>
  </si>
  <si>
    <t xml:space="preserve">Un registro por mes</t>
  </si>
  <si>
    <t xml:space="preserve">Gestión económica / Atlantix</t>
  </si>
  <si>
    <t xml:space="preserve">Separar la espera del calendario mensual en «Tiempo y expedientes por fase»</t>
  </si>
  <si>
    <t xml:space="preserve">D23</t>
  </si>
  <si>
    <t xml:space="preserve">Catálogos de valores</t>
  </si>
  <si>
    <t xml:space="preserve">Listas de valores de los campos codificados.</t>
  </si>
  <si>
    <t xml:space="preserve">Tipos de solicitud · canales · requisitos de denegación · documentación requerida · municipios · motivos de baja</t>
  </si>
  <si>
    <t xml:space="preserve">Atlantix / eReg</t>
  </si>
  <si>
    <t xml:space="preserve">Filtros y composición con nombres legibles</t>
  </si>
  <si>
    <t xml:space="preserve">D24</t>
  </si>
  <si>
    <t xml:space="preserve">Plazo normativo de resolución</t>
  </si>
  <si>
    <t xml:space="preserve">Días máximos para resolver según las normas reguladoras.</t>
  </si>
  <si>
    <t xml:space="preserve">Nº de días · desde qué fecha cuenta · si son naturales o hábiles</t>
  </si>
  <si>
    <t xml:space="preserve">Parámetro</t>
  </si>
  <si>
    <t xml:space="preserve">Normativa (la unidad)</t>
  </si>
  <si>
    <t xml:space="preserve">Incumplimiento de plazo de tramitación</t>
  </si>
  <si>
    <t xml:space="preserve">D25</t>
  </si>
  <si>
    <t xml:space="preserve">Efectivos de la unidad</t>
  </si>
  <si>
    <t xml:space="preserve">Personas dedicadas a la tramitación cada mes.</t>
  </si>
  <si>
    <t xml:space="preserve">Mes · nº de efectivos</t>
  </si>
  <si>
    <t xml:space="preserve">La unidad (fuera de sistema)</t>
  </si>
  <si>
    <t xml:space="preserve">Productividad del detalle de Gestión del expediente</t>
  </si>
  <si>
    <t xml:space="preserve">Etapas y fechas que forman el registro de eventos</t>
  </si>
  <si>
    <t xml:space="preserve">Las actividades que pinta el cuadro. Los nombres entre comillas son los que creemos que usa Atlantix: confirmadlos o corregidlos. Lo importante es que cada una tenga fecha.</t>
  </si>
  <si>
    <t xml:space="preserve">Fase del cuadro</t>
  </si>
  <si>
    <t xml:space="preserve">Actividad en el cuadro</t>
  </si>
  <si>
    <t xml:space="preserve">Etapa o estado que suponemos</t>
  </si>
  <si>
    <t xml:space="preserve">Sistema</t>
  </si>
  <si>
    <t xml:space="preserve">Fecha que necesitamos</t>
  </si>
  <si>
    <t xml:space="preserve">Para qué</t>
  </si>
  <si>
    <t xml:space="preserve">¿Se registra con fecha?</t>
  </si>
  <si>
    <t xml:space="preserve">Nombre real en el sistema</t>
  </si>
  <si>
    <t xml:space="preserve">Tabla o campo</t>
  </si>
  <si>
    <t xml:space="preserve">¿Fecha de inicio, de fin o las dos?</t>
  </si>
  <si>
    <t xml:space="preserve">Entrada (registro-alta)</t>
  </si>
  <si>
    <t xml:space="preserve">Registro de la solicitud</t>
  </si>
  <si>
    <t xml:space="preserve">Asiento en eReg</t>
  </si>
  <si>
    <t xml:space="preserve">Fecha y hora del asiento</t>
  </si>
  <si>
    <t xml:space="preserve">Inicio de todos los tiempos</t>
  </si>
  <si>
    <t xml:space="preserve">Entrada en la bandeja de registros</t>
  </si>
  <si>
    <t xml:space="preserve">Bandeja de registros (por confirmar)</t>
  </si>
  <si>
    <t xml:space="preserve">Fecha de entrada en la bandeja</t>
  </si>
  <si>
    <t xml:space="preserve">Pendientes de alta</t>
  </si>
  <si>
    <t xml:space="preserve">Alta del expediente</t>
  </si>
  <si>
    <t xml:space="preserve">Alta / inicio de «Gestión Expediente»</t>
  </si>
  <si>
    <t xml:space="preserve">Fecha de alta</t>
  </si>
  <si>
    <t xml:space="preserve">Registro → alta; inicio de la tramitación</t>
  </si>
  <si>
    <t xml:space="preserve">Descartada por duplicada</t>
  </si>
  <si>
    <t xml:space="preserve">Descarte en bandeja (por confirmar)</t>
  </si>
  <si>
    <t xml:space="preserve">Fecha y motivo</t>
  </si>
  <si>
    <t xml:space="preserve">Duplicadas (en Aportaciones)</t>
  </si>
  <si>
    <t xml:space="preserve">Requerimiento</t>
  </si>
  <si>
    <t xml:space="preserve">«Requerimiento»</t>
  </si>
  <si>
    <t xml:space="preserve">Fecha de inicio y fin de la etapa</t>
  </si>
  <si>
    <t xml:space="preserve">Retrabajo; tiempo en gestión</t>
  </si>
  <si>
    <t xml:space="preserve">Notificación del requerimiento</t>
  </si>
  <si>
    <t xml:space="preserve">Puesta a disposición en NOTE</t>
  </si>
  <si>
    <t xml:space="preserve">Fecha de puesta a disposición</t>
  </si>
  <si>
    <t xml:space="preserve">Tiempo que depende de la solicitante</t>
  </si>
  <si>
    <t xml:space="preserve">Acuse de recibo</t>
  </si>
  <si>
    <t xml:space="preserve">Acceso o acuse en NOTE</t>
  </si>
  <si>
    <t xml:space="preserve">Fecha de acuse y fin de plazo</t>
  </si>
  <si>
    <t xml:space="preserve">Plazo de aportación</t>
  </si>
  <si>
    <t xml:space="preserve">Aportación de la solicitante</t>
  </si>
  <si>
    <t xml:space="preserve">Aportación en eReg</t>
  </si>
  <si>
    <t xml:space="preserve">Fecha del asiento de la aportación</t>
  </si>
  <si>
    <t xml:space="preserve">Subsanación</t>
  </si>
  <si>
    <t xml:space="preserve">Fin del requerimiento: vuelta a Gestión Expediente</t>
  </si>
  <si>
    <t xml:space="preserve">«Aportación Documentación o Fin Etapa»</t>
  </si>
  <si>
    <t xml:space="preserve">Fecha</t>
  </si>
  <si>
    <t xml:space="preserve">Subsanación correcta; vueltas</t>
  </si>
  <si>
    <t xml:space="preserve">Propuesta favorable</t>
  </si>
  <si>
    <t xml:space="preserve">«Propuesta favorable» (etapa o fecha, por confirmar)</t>
  </si>
  <si>
    <t xml:space="preserve">Fecha y nómina propuesta</t>
  </si>
  <si>
    <t xml:space="preserve">Paso a validación de terceros; pagos propuestos</t>
  </si>
  <si>
    <t xml:space="preserve">Resolución Denegación</t>
  </si>
  <si>
    <t xml:space="preserve">«Resolución Denegación»</t>
  </si>
  <si>
    <t xml:space="preserve">Fecha de firma y requisito</t>
  </si>
  <si>
    <t xml:space="preserve">Denegados</t>
  </si>
  <si>
    <t xml:space="preserve">Resolución Desestimiento</t>
  </si>
  <si>
    <t xml:space="preserve">«Resolución Desestimiento»</t>
  </si>
  <si>
    <t xml:space="preserve">Fecha de firma y motivo</t>
  </si>
  <si>
    <t xml:space="preserve">Desistidos</t>
  </si>
  <si>
    <t xml:space="preserve">Fichero de terceros a gestión económica</t>
  </si>
  <si>
    <t xml:space="preserve">«Validación Tercero»</t>
  </si>
  <si>
    <t xml:space="preserve">Fecha del fichero</t>
  </si>
  <si>
    <t xml:space="preserve">Espera del calendario mensual</t>
  </si>
  <si>
    <t xml:space="preserve">Tercero creado en Nexus</t>
  </si>
  <si>
    <t xml:space="preserve">Alta del tercero</t>
  </si>
  <si>
    <t xml:space="preserve">Nexus</t>
  </si>
  <si>
    <t xml:space="preserve">Tiempo de gestión económica</t>
  </si>
  <si>
    <t xml:space="preserve">Tercero rechazado en Nexus</t>
  </si>
  <si>
    <t xml:space="preserve">Rechazo del tercero</t>
  </si>
  <si>
    <t xml:space="preserve">Retrabajo</t>
  </si>
  <si>
    <t xml:space="preserve">Propuesta deshecha: vuelta a Gestión Expediente</t>
  </si>
  <si>
    <t xml:space="preserve">Vuelta a «Gestión Expediente»</t>
  </si>
  <si>
    <t xml:space="preserve">Retrabajo; vueltas</t>
  </si>
  <si>
    <t xml:space="preserve">Carga de terceros: Pendiente de envío a la Intervención</t>
  </si>
  <si>
    <t xml:space="preserve">«Pendiente de envío a la Intervención»</t>
  </si>
  <si>
    <t xml:space="preserve">Fecha de inicio</t>
  </si>
  <si>
    <t xml:space="preserve">Tiempo hasta el envío</t>
  </si>
  <si>
    <t xml:space="preserve">Envío: Intervención Concesión</t>
  </si>
  <si>
    <t xml:space="preserve">«Intervención Concesión»</t>
  </si>
  <si>
    <t xml:space="preserve">Fecha de envío y lote</t>
  </si>
  <si>
    <t xml:space="preserve">Tiempo de fiscalización</t>
  </si>
  <si>
    <t xml:space="preserve">Respuestas de la Intervención</t>
  </si>
  <si>
    <t xml:space="preserve">«Favorable Concesión», «Favorable con OBS», «No Fiscalizable», «Desfavorable», «Actuación Interesada», «Dev. a instancia Promo»</t>
  </si>
  <si>
    <t xml:space="preserve">Fecha y tipo de respuesta</t>
  </si>
  <si>
    <t xml:space="preserve">Reparos; composición</t>
  </si>
  <si>
    <t xml:space="preserve">Desfavorable: vuelta a Gestión Expediente</t>
  </si>
  <si>
    <t xml:space="preserve">Resolución y pago</t>
  </si>
  <si>
    <t xml:space="preserve">Resolución Favorable Concesión</t>
  </si>
  <si>
    <t xml:space="preserve">«Resolución Favorable Concesión»</t>
  </si>
  <si>
    <t xml:space="preserve">Fecha de firma</t>
  </si>
  <si>
    <t xml:space="preserve">Resueltos favorables; Tiempo E2E</t>
  </si>
  <si>
    <t xml:space="preserve">Primer pago</t>
  </si>
  <si>
    <t xml:space="preserve">Primera remesa de nómina pagada (ADOK)</t>
  </si>
  <si>
    <t xml:space="preserve">Mes y fecha de pago</t>
  </si>
  <si>
    <t xml:space="preserve">Nuevas altas en nómina; registro → primer pago</t>
  </si>
  <si>
    <t xml:space="preserve">Modificaciones y bajas</t>
  </si>
  <si>
    <t xml:space="preserve">«Modificación Concesión», «PTE. ENVÍO …», baja</t>
  </si>
  <si>
    <t xml:space="preserve">Fechas de cada etapa y fecha de efecto</t>
  </si>
  <si>
    <t xml:space="preserve">No se muestra en esta versión</t>
  </si>
  <si>
    <t xml:space="preserve">De dónde sale cada KPI y gráfico del cuadro</t>
  </si>
  <si>
    <t xml:space="preserve">Para ver qué se cae del cuadro si un dato no existe. Los ID remiten a la hoja «Datos necesarios».</t>
  </si>
  <si>
    <t xml:space="preserve">Zona del cuadro</t>
  </si>
  <si>
    <t xml:space="preserve">Indicador o gráfico</t>
  </si>
  <si>
    <t xml:space="preserve">Cómo se calcula</t>
  </si>
  <si>
    <t xml:space="preserve">Datos que usa (ID)</t>
  </si>
  <si>
    <t xml:space="preserve">Cabecera · Fase previa a tramitación</t>
  </si>
  <si>
    <t xml:space="preserve">Entradas en registro (total de solicitudes)</t>
  </si>
  <si>
    <t xml:space="preserve">Solicitudes recibidas + aportaciones del periodo</t>
  </si>
  <si>
    <t xml:space="preserve">Aportaciones</t>
  </si>
  <si>
    <t xml:space="preserve">Entradas en registro que no son un formulario de solicitud</t>
  </si>
  <si>
    <t xml:space="preserve">D01, D02</t>
  </si>
  <si>
    <t xml:space="preserve">Solicitudes recibidas</t>
  </si>
  <si>
    <t xml:space="preserve">Asientos con formulario de solicitud (F1), sin duplicadas</t>
  </si>
  <si>
    <t xml:space="preserve">D01, D03, D06</t>
  </si>
  <si>
    <t xml:space="preserve">Solicitudes recibidas sin expediente dado de alta a la fecha de corte</t>
  </si>
  <si>
    <t xml:space="preserve">D01, D02, D03</t>
  </si>
  <si>
    <t xml:space="preserve">Cabecera · Fase de tramitación</t>
  </si>
  <si>
    <t xml:space="preserve">Expedientes dados de alta</t>
  </si>
  <si>
    <t xml:space="preserve">Solicitudes recibidas con fecha de alta</t>
  </si>
  <si>
    <t xml:space="preserve">Expedientes pendientes de resolver</t>
  </si>
  <si>
    <t xml:space="preserve">Dados de alta sin resolución</t>
  </si>
  <si>
    <t xml:space="preserve">D04, D10</t>
  </si>
  <si>
    <t xml:space="preserve">Expedientes resueltos / denegados o desistidos / resueltos favorables</t>
  </si>
  <si>
    <t xml:space="preserve">Por tipo y fecha de resolución</t>
  </si>
  <si>
    <t xml:space="preserve">Cabecera · Tiempos</t>
  </si>
  <si>
    <t xml:space="preserve">Tiempo E2E · Registro → alta · Alta → resolución</t>
  </si>
  <si>
    <t xml:space="preserve">Medias de (resolución − registro), (alta − registro) y (resolución − alta)</t>
  </si>
  <si>
    <t xml:space="preserve">D01, D04, D10</t>
  </si>
  <si>
    <t xml:space="preserve">% de resueltos con (resolución − registro) &gt; plazo</t>
  </si>
  <si>
    <t xml:space="preserve">D01, D10, D24</t>
  </si>
  <si>
    <t xml:space="preserve">Cabecera · Retrabajos</t>
  </si>
  <si>
    <t xml:space="preserve">Terminados con 2.º requerimiento, tercero rechazado o respuesta desfavorable ÷ terminados</t>
  </si>
  <si>
    <t xml:space="preserve">D05, D07, D11, D12</t>
  </si>
  <si>
    <t xml:space="preserve">Cabecera · Gestión económica</t>
  </si>
  <si>
    <t xml:space="preserve">Nuevas altas en nómina · Pagos únicos</t>
  </si>
  <si>
    <t xml:space="preserve">Primer pago de los resueltos favorables, separando pagos únicos</t>
  </si>
  <si>
    <t xml:space="preserve">D10, D13</t>
  </si>
  <si>
    <t xml:space="preserve">Beneficiarias activas (mantenimiento) · Beneficiarias inactivas</t>
  </si>
  <si>
    <t xml:space="preserve">Con mensualidad en la última nómina · dejaron de cobrar en el periodo</t>
  </si>
  <si>
    <t xml:space="preserve">D13, D14</t>
  </si>
  <si>
    <t xml:space="preserve">Ejecución presupuestaria</t>
  </si>
  <si>
    <t xml:space="preserve">Ejecutado (OK) ÷ autorizado (A) de la anualidad</t>
  </si>
  <si>
    <t xml:space="preserve">D17, D19</t>
  </si>
  <si>
    <t xml:space="preserve">Gráfico</t>
  </si>
  <si>
    <t xml:space="preserve">Tiempo y expedientes por fase</t>
  </si>
  <si>
    <t xml:space="preserve">Días por fase y de quién dependen; abiertos ahora por fase</t>
  </si>
  <si>
    <t xml:space="preserve">D05, D07, D08, D11, D12, D21, D22</t>
  </si>
  <si>
    <t xml:space="preserve">Entradas, salidas y stock</t>
  </si>
  <si>
    <t xml:space="preserve">Recibidas, dadas de alta y resueltas por mes; entradas y salidas por fase</t>
  </si>
  <si>
    <t xml:space="preserve">D01, D04, D05, D10</t>
  </si>
  <si>
    <t xml:space="preserve">Stock pendiente por fase y antigüedad</t>
  </si>
  <si>
    <t xml:space="preserve">Abiertos a la fecha de corte por fase y días desde el registro</t>
  </si>
  <si>
    <t xml:space="preserve">D01, D05</t>
  </si>
  <si>
    <t xml:space="preserve">Composición</t>
  </si>
  <si>
    <t xml:space="preserve">Reparto por tipo, canal, edad, nacionalidad, país, municipio, hijos, sentido, requisito, respuesta</t>
  </si>
  <si>
    <t xml:space="preserve">D01, D06, D10, D12, D23</t>
  </si>
  <si>
    <t xml:space="preserve">Tabla</t>
  </si>
  <si>
    <t xml:space="preserve">Gestión económica por línea</t>
  </si>
  <si>
    <t xml:space="preserve">A, D, OK, pendiente de pagar y de disponer, beneficiarias; propuesto, cierre previsto y margen</t>
  </si>
  <si>
    <t xml:space="preserve">D09, D13, D15, D16, D17, D18, D19</t>
  </si>
  <si>
    <t xml:space="preserve">Expedientes en suspensión</t>
  </si>
  <si>
    <t xml:space="preserve">Abiertos con más de 30 días sin actuación ni cambio de etapa</t>
  </si>
  <si>
    <t xml:space="preserve">D04, D05</t>
  </si>
  <si>
    <t xml:space="preserve">Detalle de fase</t>
  </si>
  <si>
    <t xml:space="preserve">Desviaciones de tiempos y de retrabajos</t>
  </si>
  <si>
    <t xml:space="preserve">Tiempo hasta cada actividad y repeticiones</t>
  </si>
  <si>
    <t xml:space="preserve">D05, D07, D08, D11, D12, D06</t>
  </si>
  <si>
    <t xml:space="preserve">Explorador de procesos</t>
  </si>
  <si>
    <t xml:space="preserve">Vista general del proceso</t>
  </si>
  <si>
    <t xml:space="preserve">Hasta qué fase ha llegado cada solicitud y dónde sale</t>
  </si>
  <si>
    <t xml:space="preserve">D04, D05, D10</t>
  </si>
  <si>
    <t xml:space="preserve">Dimensiones para filtros y composición</t>
  </si>
  <si>
    <t xml:space="preserve">No hace falta ningún dato personal identificativo: el nº de expediente puede ir seudonimizado y la edad en tramos.</t>
  </si>
  <si>
    <t xml:space="preserve">Dimensión</t>
  </si>
  <si>
    <t xml:space="preserve">Valores esperados</t>
  </si>
  <si>
    <t xml:space="preserve">Origen previsto</t>
  </si>
  <si>
    <t xml:space="preserve">Dónde se usa</t>
  </si>
  <si>
    <t xml:space="preserve">Campo real</t>
  </si>
  <si>
    <t xml:space="preserve">Tipo de solicitud</t>
  </si>
  <si>
    <t xml:space="preserve">Nacimiento, gestación, adopción, sin clasificar</t>
  </si>
  <si>
    <t xml:space="preserve">Formulario</t>
  </si>
  <si>
    <t xml:space="preserve">Filtro y composición</t>
  </si>
  <si>
    <t xml:space="preserve">Canal de entrada</t>
  </si>
  <si>
    <t xml:space="preserve">Sede electrónica, oficina de registro, ORVE</t>
  </si>
  <si>
    <t xml:space="preserve">Año de solicitud</t>
  </si>
  <si>
    <t xml:space="preserve">Año de la fecha de registro</t>
  </si>
  <si>
    <t xml:space="preserve">Filtro</t>
  </si>
  <si>
    <t xml:space="preserve">Edad de la solicitante</t>
  </si>
  <si>
    <t xml:space="preserve">En tramos (menos de 20, 20–24, 25–27, 28–30, 31 o más); basta el año de nacimiento</t>
  </si>
  <si>
    <t xml:space="preserve">Nacionalidad y país de nacimiento</t>
  </si>
  <si>
    <t xml:space="preserve">Valor codificado</t>
  </si>
  <si>
    <t xml:space="preserve">Municipio de residencia</t>
  </si>
  <si>
    <t xml:space="preserve">Código INE</t>
  </si>
  <si>
    <t xml:space="preserve">Hijos por solicitud</t>
  </si>
  <si>
    <t xml:space="preserve">1, 2, 3 o más</t>
  </si>
  <si>
    <t xml:space="preserve">Composición; importe (500 € por hijo)</t>
  </si>
  <si>
    <t xml:space="preserve">Requisito incumplido</t>
  </si>
  <si>
    <t xml:space="preserve">Motivo codificado de la denegación</t>
  </si>
  <si>
    <t xml:space="preserve">Documentación requerida</t>
  </si>
  <si>
    <t xml:space="preserve">Motivo codificado del requerimiento</t>
  </si>
  <si>
    <t xml:space="preserve">Detalle de Gestión del expediente</t>
  </si>
  <si>
    <t xml:space="preserve">Respuesta de la Intervención</t>
  </si>
  <si>
    <t xml:space="preserve">Tipo de respuesta</t>
  </si>
  <si>
    <t xml:space="preserve">Composición; detalle de Intervención</t>
  </si>
  <si>
    <t xml:space="preserve">Línea / convocatoria</t>
  </si>
  <si>
    <t xml:space="preserve">Año del alta en nómina; agrupación de Atlantix</t>
  </si>
  <si>
    <t xml:space="preserve">Preguntas abiertas para Soluciones</t>
  </si>
  <si>
    <t xml:space="preserve">Lo que necesitamos confirmar para cerrar cada dato.</t>
  </si>
  <si>
    <t xml:space="preserve">Pregunta</t>
  </si>
  <si>
    <t xml:space="preserve">Por qué la hacemos</t>
  </si>
  <si>
    <t xml:space="preserve">Datos (ID)</t>
  </si>
  <si>
    <t xml:space="preserve">Respuesta</t>
  </si>
  <si>
    <t xml:space="preserve">Quién responde</t>
  </si>
  <si>
    <t xml:space="preserve">¿Distingue eReg una solicitud (formulario F1) de una aportación, una comunicación o una genérica sin formulario? ¿Marca los duplicados técnicos y los anulados?</t>
  </si>
  <si>
    <t xml:space="preserve">Separar «Solicitudes recibidas» de «Aportaciones»</t>
  </si>
  <si>
    <t xml:space="preserve">eReg / Atlantix</t>
  </si>
  <si>
    <t xml:space="preserve">¿Cómo se enlaza el nº de registro de eReg con el expediente de Atlantix, tanto la solicitud como sus aportaciones?</t>
  </si>
  <si>
    <t xml:space="preserve">Pendientes de alta y Registro → alta</t>
  </si>
  <si>
    <t xml:space="preserve">¿Se puede saber qué registros siguen en la bandeja sin dar de alta y desde cuándo? ¿Queda rastro de los descartados por duplicados?</t>
  </si>
  <si>
    <t xml:space="preserve">Pendientes de alta y su antigüedad</t>
  </si>
  <si>
    <t xml:space="preserve">¿La bitácora guarda la fecha de inicio y la de fin de cada etapa, o solo la de fin? ¿Desde qué año hay histórico fiable?</t>
  </si>
  <si>
    <t xml:space="preserve">Todos los tiempos del cuadro</t>
  </si>
  <si>
    <t xml:space="preserve">¿La propuesta favorable es una etapa o una fecha o marca? ¿Se guardan la nómina propuesta y los pagos propuestos?</t>
  </si>
  <si>
    <t xml:space="preserve">Propuesto en Atlantix y cierre previsto</t>
  </si>
  <si>
    <t xml:space="preserve">¿Qué contiene exactamente el apartado de datos singulares económicos (pagos propuestos, mensuales, total, ejecutado, acumulados)? ¿Por expediente y mes?</t>
  </si>
  <si>
    <t xml:space="preserve">Gestión económica sin depender de Nexus</t>
  </si>
  <si>
    <t xml:space="preserve">¿Qué agrupación económica existe: línea, convocatoria o el combo convocatoria-línea? ¿Cómo se asigna un expediente que pasa de año?</t>
  </si>
  <si>
    <t xml:space="preserve">Tabla de gestión económica (pregunta de Lourdes)</t>
  </si>
  <si>
    <t xml:space="preserve">¿A, D (D_COM) y OK por línea y anualidad se pueden sacar de Atlantix o solo de la contabilidad de Nexus? ¿Con qué acceso?</t>
  </si>
  <si>
    <t xml:space="preserve">D17–D19</t>
  </si>
  <si>
    <t xml:space="preserve">¿Llegan a Atlantix las fechas de puesta a disposición y de acuse de NOTE?</t>
  </si>
  <si>
    <t xml:space="preserve">Atlantix / Nexus</t>
  </si>
  <si>
    <t xml:space="preserve">¿Queda registrada la fecha del fichero de terceros, la respuesta de Nexus y el motivo de rechazo?</t>
  </si>
  <si>
    <t xml:space="preserve">Detalle de Validación de terceros</t>
  </si>
  <si>
    <t xml:space="preserve">D029</t>
  </si>
  <si>
    <t xml:space="preserve">¿Se guardan la fecha de envío, el lote, la fecha de respuesta y el tipo de respuesta de la Intervención?</t>
  </si>
  <si>
    <t xml:space="preserve">Detalle de Intervención y retrabajo</t>
  </si>
  <si>
    <t xml:space="preserve">¿El requisito incumplido de una denegación es un campo codificado o texto libre?</t>
  </si>
  <si>
    <t xml:space="preserve">Composición por requisito</t>
  </si>
  <si>
    <t xml:space="preserve">¿Qué cuenta como «actuación» para la fecha de la última actuación de un expediente?</t>
  </si>
  <si>
    <t xml:space="preserve">¿Se guardan la fecha de fin del derecho y la fecha y el motivo de las bajas?</t>
  </si>
  <si>
    <t xml:space="preserve">General</t>
  </si>
  <si>
    <t xml:space="preserve">¿Cómo se nos daría acceso (vistas, extracciones, conexión directa), con qué frecuencia de actualización y con qué tratamiento de datos personales?</t>
  </si>
  <si>
    <t xml:space="preserve">Puesta en marcha</t>
  </si>
  <si>
    <t xml:space="preserve">Todos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</si>
</sst>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1F44"/>
      <name val="Arial"/>
      <family val="0"/>
      <charset val="1"/>
    </font>
    <font>
      <b val="true"/>
      <sz val="10"/>
      <color rgb="FF0A1F4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A1F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.5"/>
      <color rgb="FF595959"/>
      <name val="Arial"/>
      <family val="0"/>
      <charset val="1"/>
    </font>
    <font>
      <sz val="9.5"/>
      <name val="Arial"/>
      <family val="0"/>
      <charset val="1"/>
    </font>
    <font>
      <b val="true"/>
      <sz val="9.5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b val="true"/>
      <sz val="9.5"/>
      <color rgb="FF8A5200"/>
      <name val="Arial"/>
      <family val="0"/>
      <charset val="1"/>
    </font>
    <font>
      <b val="true"/>
      <sz val="9.5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1F44"/>
        <bgColor rgb="FF003300"/>
      </patternFill>
    </fill>
    <fill>
      <patternFill patternType="solid">
        <fgColor rgb="FF8A5200"/>
        <bgColor rgb="FF8080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D"/>
      </left>
      <right style="thin">
        <color rgb="FFD3D3DD"/>
      </right>
      <top style="thin">
        <color rgb="FFD3D3DD"/>
      </top>
      <bottom style="thin">
        <color rgb="FFD3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A1F4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52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3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A1F44"/>
      <rgbColor rgb="FF339966"/>
      <rgbColor rgb="FF003300"/>
      <rgbColor rgb="FF333300"/>
      <rgbColor rgb="FF8A52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</row>
    <row r="4" customFormat="false" ht="30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</row>
    <row r="5" customFormat="false" ht="30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</row>
    <row r="6" customFormat="false" ht="30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</row>
    <row r="7" customFormat="false" ht="30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</row>
    <row r="8" customFormat="false" ht="30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</row>
    <row r="11" customFormat="false" ht="15" hidden="false" customHeight="false" outlineLevel="0" collapsed="false">
      <c r="A11" s="4" t="s">
        <v>13</v>
      </c>
    </row>
    <row r="12" customFormat="false" ht="15" hidden="false" customHeight="false" outlineLevel="0" collapsed="false">
      <c r="A12" s="5" t="s">
        <v>7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</row>
    <row r="13" customFormat="false" ht="15" hidden="false" customHeight="false" outlineLevel="0" collapsed="false">
      <c r="A13" s="6" t="s">
        <v>19</v>
      </c>
      <c r="B13" s="7" t="n">
        <f aca="false">COUNTIF('Datos necesarios'!$I$6:$I$30,A13)</f>
        <v>16</v>
      </c>
      <c r="C13" s="7" t="n">
        <f aca="false">COUNTIFS('Datos necesarios'!$I$6:$I$30,$A13,'Datos necesarios'!$K$6:$K$30,"Sí")</f>
        <v>0</v>
      </c>
      <c r="D13" s="7" t="n">
        <f aca="false">COUNTIFS('Datos necesarios'!$I$6:$I$30,$A13,'Datos necesarios'!$K$6:$K$30,"Parcial")</f>
        <v>0</v>
      </c>
      <c r="E13" s="7" t="n">
        <f aca="false">COUNTIFS('Datos necesarios'!$I$6:$I$30,$A13,'Datos necesarios'!$K$6:$K$30,"No")</f>
        <v>0</v>
      </c>
      <c r="F13" s="7" t="n">
        <f aca="false">B13-C13-D13-E13</f>
        <v>16</v>
      </c>
    </row>
    <row r="14" customFormat="false" ht="15" hidden="false" customHeight="false" outlineLevel="0" collapsed="false">
      <c r="A14" s="6" t="s">
        <v>20</v>
      </c>
      <c r="B14" s="7" t="n">
        <f aca="false">COUNTIF('Datos necesarios'!$I$6:$I$30,A14)</f>
        <v>7</v>
      </c>
      <c r="C14" s="7" t="n">
        <f aca="false">COUNTIFS('Datos necesarios'!$I$6:$I$30,$A14,'Datos necesarios'!$K$6:$K$30,"Sí")</f>
        <v>0</v>
      </c>
      <c r="D14" s="7" t="n">
        <f aca="false">COUNTIFS('Datos necesarios'!$I$6:$I$30,$A14,'Datos necesarios'!$K$6:$K$30,"Parcial")</f>
        <v>0</v>
      </c>
      <c r="E14" s="7" t="n">
        <f aca="false">COUNTIFS('Datos necesarios'!$I$6:$I$30,$A14,'Datos necesarios'!$K$6:$K$30,"No")</f>
        <v>0</v>
      </c>
      <c r="F14" s="7" t="n">
        <f aca="false">B14-C14-D14-E14</f>
        <v>7</v>
      </c>
    </row>
    <row r="15" customFormat="false" ht="15" hidden="false" customHeight="false" outlineLevel="0" collapsed="false">
      <c r="A15" s="6" t="s">
        <v>21</v>
      </c>
      <c r="B15" s="7" t="n">
        <f aca="false">COUNTIF('Datos necesarios'!$I$6:$I$30,A15)</f>
        <v>2</v>
      </c>
      <c r="C15" s="7" t="n">
        <f aca="false">COUNTIFS('Datos necesarios'!$I$6:$I$30,$A15,'Datos necesarios'!$K$6:$K$30,"Sí")</f>
        <v>0</v>
      </c>
      <c r="D15" s="7" t="n">
        <f aca="false">COUNTIFS('Datos necesarios'!$I$6:$I$30,$A15,'Datos necesarios'!$K$6:$K$30,"Parcial")</f>
        <v>0</v>
      </c>
      <c r="E15" s="7" t="n">
        <f aca="false">COUNTIFS('Datos necesarios'!$I$6:$I$30,$A15,'Datos necesarios'!$K$6:$K$30,"No")</f>
        <v>0</v>
      </c>
      <c r="F15" s="7" t="n">
        <f aca="false">B15-C15-D15-E15</f>
        <v>2</v>
      </c>
    </row>
    <row r="16" customFormat="false" ht="15" hidden="false" customHeight="false" outlineLevel="0" collapsed="false">
      <c r="A16" s="8" t="s">
        <v>22</v>
      </c>
      <c r="B16" s="9" t="n">
        <f aca="false">SUM(B13:B15)</f>
        <v>25</v>
      </c>
      <c r="C16" s="9" t="n">
        <f aca="false">SUM(C13:C15)</f>
        <v>0</v>
      </c>
      <c r="D16" s="9" t="n">
        <f aca="false">SUM(D13:D15)</f>
        <v>0</v>
      </c>
      <c r="E16" s="9" t="n">
        <f aca="false">SUM(E13:E15)</f>
        <v>0</v>
      </c>
      <c r="F16" s="9" t="n">
        <f aca="false">SUM(F13:F15)</f>
        <v>25</v>
      </c>
    </row>
    <row r="18" customFormat="false" ht="15" hidden="false" customHeight="false" outlineLevel="0" collapsed="false">
      <c r="A18" s="10" t="s">
        <v>23</v>
      </c>
    </row>
  </sheetData>
  <mergeCells count="6">
    <mergeCell ref="B3:F3"/>
    <mergeCell ref="B4:F4"/>
    <mergeCell ref="B5:F5"/>
    <mergeCell ref="B6:F6"/>
    <mergeCell ref="B7:F7"/>
    <mergeCell ref="B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36"/>
    <col collapsed="false" customWidth="true" hidden="false" outlineLevel="0" max="11" min="9" style="0" width="13"/>
    <col collapsed="false" customWidth="true" hidden="false" outlineLevel="0" max="12" min="12" style="0" width="22"/>
    <col collapsed="false" customWidth="true" hidden="false" outlineLevel="0" max="13" min="13" style="0" width="24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11" t="s">
        <v>25</v>
      </c>
    </row>
    <row r="4" customFormat="false" ht="31.5" hidden="false" customHeight="true" outlineLevel="0" collapsed="false">
      <c r="A4" s="12" t="s">
        <v>26</v>
      </c>
      <c r="B4" s="12" t="s">
        <v>27</v>
      </c>
      <c r="C4" s="12" t="s">
        <v>28</v>
      </c>
      <c r="D4" s="12" t="s">
        <v>29</v>
      </c>
      <c r="E4" s="12" t="s">
        <v>30</v>
      </c>
      <c r="F4" s="12" t="s">
        <v>31</v>
      </c>
      <c r="G4" s="12" t="s">
        <v>32</v>
      </c>
      <c r="H4" s="12" t="s">
        <v>33</v>
      </c>
      <c r="I4" s="12" t="s">
        <v>7</v>
      </c>
      <c r="J4" s="12" t="s">
        <v>34</v>
      </c>
      <c r="K4" s="13" t="s">
        <v>35</v>
      </c>
      <c r="L4" s="13" t="s">
        <v>36</v>
      </c>
      <c r="M4" s="13" t="s">
        <v>37</v>
      </c>
      <c r="N4" s="13" t="s">
        <v>38</v>
      </c>
      <c r="O4" s="13" t="s">
        <v>39</v>
      </c>
      <c r="P4" s="13" t="s">
        <v>40</v>
      </c>
    </row>
    <row r="5" customFormat="false" ht="15" hidden="false" customHeight="false" outlineLevel="0" collapsed="false">
      <c r="A5" s="14" t="s">
        <v>41</v>
      </c>
      <c r="B5" s="14" t="s">
        <v>42</v>
      </c>
      <c r="C5" s="14" t="s">
        <v>43</v>
      </c>
      <c r="D5" s="14"/>
      <c r="E5" s="14"/>
      <c r="F5" s="14"/>
      <c r="G5" s="14" t="s">
        <v>44</v>
      </c>
      <c r="H5" s="14"/>
      <c r="I5" s="14" t="s">
        <v>19</v>
      </c>
      <c r="J5" s="14" t="s">
        <v>45</v>
      </c>
      <c r="K5" s="14" t="s">
        <v>16</v>
      </c>
      <c r="L5" s="14" t="s">
        <v>46</v>
      </c>
      <c r="M5" s="14" t="s">
        <v>47</v>
      </c>
      <c r="N5" s="14" t="s">
        <v>48</v>
      </c>
      <c r="O5" s="14" t="s">
        <v>49</v>
      </c>
      <c r="P5" s="14" t="s">
        <v>50</v>
      </c>
    </row>
    <row r="6" customFormat="false" ht="75.75" hidden="false" customHeight="true" outlineLevel="0" collapsed="false">
      <c r="A6" s="15" t="s">
        <v>51</v>
      </c>
      <c r="B6" s="15" t="s">
        <v>52</v>
      </c>
      <c r="C6" s="16" t="s">
        <v>53</v>
      </c>
      <c r="D6" s="15" t="s">
        <v>54</v>
      </c>
      <c r="E6" s="15" t="s">
        <v>55</v>
      </c>
      <c r="F6" s="15" t="s">
        <v>56</v>
      </c>
      <c r="G6" s="15" t="s">
        <v>57</v>
      </c>
      <c r="H6" s="15" t="s">
        <v>58</v>
      </c>
      <c r="I6" s="17" t="s">
        <v>19</v>
      </c>
      <c r="J6" s="15" t="s">
        <v>45</v>
      </c>
    </row>
    <row r="7" customFormat="false" ht="75.75" hidden="false" customHeight="true" outlineLevel="0" collapsed="false">
      <c r="A7" s="15" t="s">
        <v>59</v>
      </c>
      <c r="B7" s="15" t="s">
        <v>52</v>
      </c>
      <c r="C7" s="16" t="s">
        <v>60</v>
      </c>
      <c r="D7" s="15" t="s">
        <v>61</v>
      </c>
      <c r="E7" s="15" t="s">
        <v>62</v>
      </c>
      <c r="F7" s="15" t="s">
        <v>63</v>
      </c>
      <c r="G7" s="15" t="s">
        <v>64</v>
      </c>
      <c r="H7" s="15" t="s">
        <v>65</v>
      </c>
      <c r="I7" s="17" t="s">
        <v>19</v>
      </c>
      <c r="J7" s="15" t="s">
        <v>45</v>
      </c>
    </row>
    <row r="8" customFormat="false" ht="75.75" hidden="false" customHeight="true" outlineLevel="0" collapsed="false">
      <c r="A8" s="15" t="s">
        <v>66</v>
      </c>
      <c r="B8" s="15" t="s">
        <v>52</v>
      </c>
      <c r="C8" s="16" t="s">
        <v>67</v>
      </c>
      <c r="D8" s="15" t="s">
        <v>68</v>
      </c>
      <c r="E8" s="15" t="s">
        <v>69</v>
      </c>
      <c r="F8" s="15" t="s">
        <v>56</v>
      </c>
      <c r="G8" s="15" t="s">
        <v>70</v>
      </c>
      <c r="H8" s="15" t="s">
        <v>71</v>
      </c>
      <c r="I8" s="17" t="s">
        <v>19</v>
      </c>
      <c r="J8" s="15" t="s">
        <v>72</v>
      </c>
    </row>
    <row r="9" customFormat="false" ht="75.75" hidden="false" customHeight="true" outlineLevel="0" collapsed="false">
      <c r="A9" s="15" t="s">
        <v>73</v>
      </c>
      <c r="B9" s="15" t="s">
        <v>42</v>
      </c>
      <c r="C9" s="16" t="s">
        <v>74</v>
      </c>
      <c r="D9" s="15" t="s">
        <v>75</v>
      </c>
      <c r="E9" s="15" t="s">
        <v>76</v>
      </c>
      <c r="F9" s="15" t="s">
        <v>77</v>
      </c>
      <c r="G9" s="15" t="s">
        <v>44</v>
      </c>
      <c r="H9" s="15" t="s">
        <v>78</v>
      </c>
      <c r="I9" s="17" t="s">
        <v>19</v>
      </c>
      <c r="J9" s="15" t="s">
        <v>45</v>
      </c>
    </row>
    <row r="10" customFormat="false" ht="75.75" hidden="false" customHeight="true" outlineLevel="0" collapsed="false">
      <c r="A10" s="15" t="s">
        <v>79</v>
      </c>
      <c r="B10" s="15" t="s">
        <v>42</v>
      </c>
      <c r="C10" s="16" t="s">
        <v>80</v>
      </c>
      <c r="D10" s="15" t="s">
        <v>81</v>
      </c>
      <c r="E10" s="15" t="s">
        <v>82</v>
      </c>
      <c r="F10" s="15" t="s">
        <v>83</v>
      </c>
      <c r="G10" s="15" t="s">
        <v>44</v>
      </c>
      <c r="H10" s="15" t="s">
        <v>84</v>
      </c>
      <c r="I10" s="17" t="s">
        <v>19</v>
      </c>
      <c r="J10" s="15" t="s">
        <v>45</v>
      </c>
    </row>
    <row r="11" customFormat="false" ht="75.75" hidden="false" customHeight="true" outlineLevel="0" collapsed="false">
      <c r="A11" s="15" t="s">
        <v>85</v>
      </c>
      <c r="B11" s="15" t="s">
        <v>42</v>
      </c>
      <c r="C11" s="16" t="s">
        <v>86</v>
      </c>
      <c r="D11" s="15" t="s">
        <v>87</v>
      </c>
      <c r="E11" s="15" t="s">
        <v>88</v>
      </c>
      <c r="F11" s="15" t="s">
        <v>77</v>
      </c>
      <c r="G11" s="15" t="s">
        <v>89</v>
      </c>
      <c r="H11" s="15" t="s">
        <v>90</v>
      </c>
      <c r="I11" s="18" t="s">
        <v>20</v>
      </c>
      <c r="J11" s="15" t="s">
        <v>45</v>
      </c>
    </row>
    <row r="12" customFormat="false" ht="75.75" hidden="false" customHeight="true" outlineLevel="0" collapsed="false">
      <c r="A12" s="15" t="s">
        <v>91</v>
      </c>
      <c r="B12" s="15" t="s">
        <v>92</v>
      </c>
      <c r="C12" s="16" t="s">
        <v>93</v>
      </c>
      <c r="D12" s="15" t="s">
        <v>94</v>
      </c>
      <c r="E12" s="15" t="s">
        <v>95</v>
      </c>
      <c r="F12" s="15" t="s">
        <v>96</v>
      </c>
      <c r="G12" s="15" t="s">
        <v>70</v>
      </c>
      <c r="H12" s="15" t="s">
        <v>97</v>
      </c>
      <c r="I12" s="17" t="s">
        <v>19</v>
      </c>
      <c r="J12" s="15" t="s">
        <v>45</v>
      </c>
    </row>
    <row r="13" customFormat="false" ht="75.75" hidden="false" customHeight="true" outlineLevel="0" collapsed="false">
      <c r="A13" s="15" t="s">
        <v>98</v>
      </c>
      <c r="B13" s="15" t="s">
        <v>92</v>
      </c>
      <c r="C13" s="16" t="s">
        <v>99</v>
      </c>
      <c r="D13" s="15" t="s">
        <v>100</v>
      </c>
      <c r="E13" s="15" t="s">
        <v>101</v>
      </c>
      <c r="F13" s="15" t="s">
        <v>102</v>
      </c>
      <c r="G13" s="15" t="s">
        <v>103</v>
      </c>
      <c r="H13" s="15" t="s">
        <v>104</v>
      </c>
      <c r="I13" s="18" t="s">
        <v>20</v>
      </c>
      <c r="J13" s="15" t="s">
        <v>45</v>
      </c>
    </row>
    <row r="14" customFormat="false" ht="75.75" hidden="false" customHeight="true" outlineLevel="0" collapsed="false">
      <c r="A14" s="15" t="s">
        <v>105</v>
      </c>
      <c r="B14" s="15" t="s">
        <v>92</v>
      </c>
      <c r="C14" s="16" t="s">
        <v>106</v>
      </c>
      <c r="D14" s="15" t="s">
        <v>107</v>
      </c>
      <c r="E14" s="15" t="s">
        <v>108</v>
      </c>
      <c r="F14" s="15" t="s">
        <v>109</v>
      </c>
      <c r="G14" s="15" t="s">
        <v>44</v>
      </c>
      <c r="H14" s="15" t="s">
        <v>110</v>
      </c>
      <c r="I14" s="17" t="s">
        <v>19</v>
      </c>
      <c r="J14" s="15" t="s">
        <v>111</v>
      </c>
    </row>
    <row r="15" customFormat="false" ht="75.75" hidden="false" customHeight="true" outlineLevel="0" collapsed="false">
      <c r="A15" s="15" t="s">
        <v>112</v>
      </c>
      <c r="B15" s="15" t="s">
        <v>113</v>
      </c>
      <c r="C15" s="16" t="s">
        <v>114</v>
      </c>
      <c r="D15" s="15" t="s">
        <v>115</v>
      </c>
      <c r="E15" s="15" t="s">
        <v>116</v>
      </c>
      <c r="F15" s="15" t="s">
        <v>117</v>
      </c>
      <c r="G15" s="15" t="s">
        <v>70</v>
      </c>
      <c r="H15" s="15" t="s">
        <v>118</v>
      </c>
      <c r="I15" s="17" t="s">
        <v>19</v>
      </c>
      <c r="J15" s="15" t="s">
        <v>45</v>
      </c>
    </row>
    <row r="16" customFormat="false" ht="75.75" hidden="false" customHeight="true" outlineLevel="0" collapsed="false">
      <c r="A16" s="15" t="s">
        <v>119</v>
      </c>
      <c r="B16" s="15" t="s">
        <v>120</v>
      </c>
      <c r="C16" s="16" t="s">
        <v>121</v>
      </c>
      <c r="D16" s="15" t="s">
        <v>122</v>
      </c>
      <c r="E16" s="15" t="s">
        <v>123</v>
      </c>
      <c r="F16" s="15" t="s">
        <v>124</v>
      </c>
      <c r="G16" s="15" t="s">
        <v>125</v>
      </c>
      <c r="H16" s="15" t="s">
        <v>126</v>
      </c>
      <c r="I16" s="18" t="s">
        <v>20</v>
      </c>
      <c r="J16" s="15" t="s">
        <v>127</v>
      </c>
    </row>
    <row r="17" customFormat="false" ht="75.75" hidden="false" customHeight="true" outlineLevel="0" collapsed="false">
      <c r="A17" s="15" t="s">
        <v>128</v>
      </c>
      <c r="B17" s="15" t="s">
        <v>129</v>
      </c>
      <c r="C17" s="16" t="s">
        <v>130</v>
      </c>
      <c r="D17" s="15" t="s">
        <v>131</v>
      </c>
      <c r="E17" s="15" t="s">
        <v>132</v>
      </c>
      <c r="F17" s="15" t="s">
        <v>124</v>
      </c>
      <c r="G17" s="15" t="s">
        <v>133</v>
      </c>
      <c r="H17" s="15" t="s">
        <v>134</v>
      </c>
      <c r="I17" s="17" t="s">
        <v>19</v>
      </c>
      <c r="J17" s="15" t="s">
        <v>45</v>
      </c>
    </row>
    <row r="18" customFormat="false" ht="75.75" hidden="false" customHeight="true" outlineLevel="0" collapsed="false">
      <c r="A18" s="15" t="s">
        <v>135</v>
      </c>
      <c r="B18" s="15" t="s">
        <v>136</v>
      </c>
      <c r="C18" s="16" t="s">
        <v>137</v>
      </c>
      <c r="D18" s="15" t="s">
        <v>138</v>
      </c>
      <c r="E18" s="15" t="s">
        <v>139</v>
      </c>
      <c r="F18" s="15" t="s">
        <v>140</v>
      </c>
      <c r="G18" s="15" t="s">
        <v>141</v>
      </c>
      <c r="H18" s="15" t="s">
        <v>142</v>
      </c>
      <c r="I18" s="17" t="s">
        <v>19</v>
      </c>
      <c r="J18" s="15" t="s">
        <v>45</v>
      </c>
    </row>
    <row r="19" customFormat="false" ht="75.75" hidden="false" customHeight="true" outlineLevel="0" collapsed="false">
      <c r="A19" s="15" t="s">
        <v>143</v>
      </c>
      <c r="B19" s="15" t="s">
        <v>136</v>
      </c>
      <c r="C19" s="16" t="s">
        <v>144</v>
      </c>
      <c r="D19" s="15" t="s">
        <v>145</v>
      </c>
      <c r="E19" s="15" t="s">
        <v>146</v>
      </c>
      <c r="F19" s="15" t="s">
        <v>77</v>
      </c>
      <c r="G19" s="15" t="s">
        <v>70</v>
      </c>
      <c r="H19" s="15" t="s">
        <v>147</v>
      </c>
      <c r="I19" s="18" t="s">
        <v>20</v>
      </c>
      <c r="J19" s="15" t="s">
        <v>45</v>
      </c>
    </row>
    <row r="20" customFormat="false" ht="75.75" hidden="false" customHeight="true" outlineLevel="0" collapsed="false">
      <c r="A20" s="15" t="s">
        <v>148</v>
      </c>
      <c r="B20" s="15" t="s">
        <v>149</v>
      </c>
      <c r="C20" s="16" t="s">
        <v>150</v>
      </c>
      <c r="D20" s="15" t="s">
        <v>151</v>
      </c>
      <c r="E20" s="15" t="s">
        <v>152</v>
      </c>
      <c r="F20" s="15" t="s">
        <v>77</v>
      </c>
      <c r="G20" s="15" t="s">
        <v>70</v>
      </c>
      <c r="H20" s="15" t="s">
        <v>153</v>
      </c>
      <c r="I20" s="17" t="s">
        <v>19</v>
      </c>
      <c r="J20" s="15" t="s">
        <v>45</v>
      </c>
    </row>
    <row r="21" customFormat="false" ht="75.75" hidden="false" customHeight="true" outlineLevel="0" collapsed="false">
      <c r="A21" s="15" t="s">
        <v>154</v>
      </c>
      <c r="B21" s="15" t="s">
        <v>149</v>
      </c>
      <c r="C21" s="16" t="s">
        <v>155</v>
      </c>
      <c r="D21" s="15" t="s">
        <v>156</v>
      </c>
      <c r="E21" s="15" t="s">
        <v>157</v>
      </c>
      <c r="F21" s="15" t="s">
        <v>158</v>
      </c>
      <c r="G21" s="15" t="s">
        <v>70</v>
      </c>
      <c r="H21" s="15" t="s">
        <v>159</v>
      </c>
      <c r="I21" s="17" t="s">
        <v>19</v>
      </c>
      <c r="J21" s="15" t="s">
        <v>45</v>
      </c>
    </row>
    <row r="22" customFormat="false" ht="75.75" hidden="false" customHeight="true" outlineLevel="0" collapsed="false">
      <c r="A22" s="15" t="s">
        <v>160</v>
      </c>
      <c r="B22" s="15" t="s">
        <v>149</v>
      </c>
      <c r="C22" s="16" t="s">
        <v>161</v>
      </c>
      <c r="D22" s="15" t="s">
        <v>162</v>
      </c>
      <c r="E22" s="15" t="s">
        <v>163</v>
      </c>
      <c r="F22" s="15" t="s">
        <v>164</v>
      </c>
      <c r="G22" s="15" t="s">
        <v>165</v>
      </c>
      <c r="H22" s="15" t="s">
        <v>166</v>
      </c>
      <c r="I22" s="17" t="s">
        <v>19</v>
      </c>
      <c r="J22" s="15" t="s">
        <v>45</v>
      </c>
    </row>
    <row r="23" customFormat="false" ht="75.75" hidden="false" customHeight="true" outlineLevel="0" collapsed="false">
      <c r="A23" s="15" t="s">
        <v>167</v>
      </c>
      <c r="B23" s="15" t="s">
        <v>149</v>
      </c>
      <c r="C23" s="16" t="s">
        <v>168</v>
      </c>
      <c r="D23" s="15" t="s">
        <v>169</v>
      </c>
      <c r="E23" s="15" t="s">
        <v>170</v>
      </c>
      <c r="F23" s="15" t="s">
        <v>171</v>
      </c>
      <c r="G23" s="15" t="s">
        <v>165</v>
      </c>
      <c r="H23" s="15" t="s">
        <v>172</v>
      </c>
      <c r="I23" s="17" t="s">
        <v>19</v>
      </c>
      <c r="J23" s="15" t="s">
        <v>45</v>
      </c>
    </row>
    <row r="24" customFormat="false" ht="75.75" hidden="false" customHeight="true" outlineLevel="0" collapsed="false">
      <c r="A24" s="15" t="s">
        <v>173</v>
      </c>
      <c r="B24" s="15" t="s">
        <v>149</v>
      </c>
      <c r="C24" s="16" t="s">
        <v>174</v>
      </c>
      <c r="D24" s="15" t="s">
        <v>175</v>
      </c>
      <c r="E24" s="15" t="s">
        <v>176</v>
      </c>
      <c r="F24" s="15" t="s">
        <v>171</v>
      </c>
      <c r="G24" s="15" t="s">
        <v>177</v>
      </c>
      <c r="H24" s="15" t="s">
        <v>178</v>
      </c>
      <c r="I24" s="17" t="s">
        <v>19</v>
      </c>
      <c r="J24" s="15" t="s">
        <v>45</v>
      </c>
    </row>
    <row r="25" customFormat="false" ht="75.75" hidden="false" customHeight="true" outlineLevel="0" collapsed="false">
      <c r="A25" s="15" t="s">
        <v>179</v>
      </c>
      <c r="B25" s="15" t="s">
        <v>180</v>
      </c>
      <c r="C25" s="16" t="s">
        <v>181</v>
      </c>
      <c r="D25" s="15" t="s">
        <v>182</v>
      </c>
      <c r="E25" s="15" t="s">
        <v>183</v>
      </c>
      <c r="F25" s="15" t="s">
        <v>184</v>
      </c>
      <c r="G25" s="15" t="s">
        <v>70</v>
      </c>
      <c r="H25" s="15" t="s">
        <v>185</v>
      </c>
      <c r="I25" s="19" t="s">
        <v>21</v>
      </c>
      <c r="J25" s="15" t="s">
        <v>186</v>
      </c>
    </row>
    <row r="26" customFormat="false" ht="75.75" hidden="false" customHeight="true" outlineLevel="0" collapsed="false">
      <c r="A26" s="15" t="s">
        <v>187</v>
      </c>
      <c r="B26" s="15" t="s">
        <v>188</v>
      </c>
      <c r="C26" s="16" t="s">
        <v>189</v>
      </c>
      <c r="D26" s="15" t="s">
        <v>190</v>
      </c>
      <c r="E26" s="15" t="s">
        <v>191</v>
      </c>
      <c r="F26" s="15" t="s">
        <v>192</v>
      </c>
      <c r="G26" s="15" t="s">
        <v>193</v>
      </c>
      <c r="H26" s="15" t="s">
        <v>194</v>
      </c>
      <c r="I26" s="17" t="s">
        <v>19</v>
      </c>
      <c r="J26" s="15" t="s">
        <v>195</v>
      </c>
    </row>
    <row r="27" customFormat="false" ht="75.75" hidden="false" customHeight="true" outlineLevel="0" collapsed="false">
      <c r="A27" s="15" t="s">
        <v>196</v>
      </c>
      <c r="B27" s="15" t="s">
        <v>188</v>
      </c>
      <c r="C27" s="16" t="s">
        <v>197</v>
      </c>
      <c r="D27" s="15" t="s">
        <v>198</v>
      </c>
      <c r="E27" s="15" t="s">
        <v>199</v>
      </c>
      <c r="F27" s="15" t="s">
        <v>200</v>
      </c>
      <c r="G27" s="15" t="s">
        <v>201</v>
      </c>
      <c r="H27" s="15" t="s">
        <v>202</v>
      </c>
      <c r="I27" s="18" t="s">
        <v>20</v>
      </c>
      <c r="J27" s="15" t="s">
        <v>45</v>
      </c>
    </row>
    <row r="28" customFormat="false" ht="75.75" hidden="false" customHeight="true" outlineLevel="0" collapsed="false">
      <c r="A28" s="15" t="s">
        <v>203</v>
      </c>
      <c r="B28" s="15" t="s">
        <v>188</v>
      </c>
      <c r="C28" s="16" t="s">
        <v>204</v>
      </c>
      <c r="D28" s="15" t="s">
        <v>205</v>
      </c>
      <c r="E28" s="15" t="s">
        <v>206</v>
      </c>
      <c r="F28" s="15" t="s">
        <v>192</v>
      </c>
      <c r="G28" s="15" t="s">
        <v>207</v>
      </c>
      <c r="H28" s="15" t="s">
        <v>208</v>
      </c>
      <c r="I28" s="18" t="s">
        <v>20</v>
      </c>
      <c r="J28" s="15" t="s">
        <v>195</v>
      </c>
    </row>
    <row r="29" customFormat="false" ht="75.75" hidden="false" customHeight="true" outlineLevel="0" collapsed="false">
      <c r="A29" s="15" t="s">
        <v>209</v>
      </c>
      <c r="B29" s="15" t="s">
        <v>188</v>
      </c>
      <c r="C29" s="16" t="s">
        <v>210</v>
      </c>
      <c r="D29" s="15" t="s">
        <v>211</v>
      </c>
      <c r="E29" s="15" t="s">
        <v>212</v>
      </c>
      <c r="F29" s="15" t="s">
        <v>213</v>
      </c>
      <c r="G29" s="15" t="s">
        <v>214</v>
      </c>
      <c r="H29" s="15" t="s">
        <v>215</v>
      </c>
      <c r="I29" s="18" t="s">
        <v>20</v>
      </c>
      <c r="J29" s="15" t="s">
        <v>195</v>
      </c>
    </row>
    <row r="30" customFormat="false" ht="75.75" hidden="false" customHeight="true" outlineLevel="0" collapsed="false">
      <c r="A30" s="15" t="s">
        <v>216</v>
      </c>
      <c r="B30" s="15" t="s">
        <v>188</v>
      </c>
      <c r="C30" s="16" t="s">
        <v>217</v>
      </c>
      <c r="D30" s="15" t="s">
        <v>218</v>
      </c>
      <c r="E30" s="15" t="s">
        <v>219</v>
      </c>
      <c r="F30" s="15" t="s">
        <v>200</v>
      </c>
      <c r="G30" s="15" t="s">
        <v>220</v>
      </c>
      <c r="H30" s="15" t="s">
        <v>221</v>
      </c>
      <c r="I30" s="19" t="s">
        <v>21</v>
      </c>
      <c r="J30" s="15" t="s">
        <v>111</v>
      </c>
    </row>
  </sheetData>
  <autoFilter ref="A4:P30"/>
  <conditionalFormatting sqref="K6:K30">
    <cfRule type="cellIs" priority="2" operator="equal" aboveAverage="0" equalAverage="0" bottom="0" percent="0" rank="0" text="" dxfId="8">
      <formula>"Sí"</formula>
    </cfRule>
    <cfRule type="cellIs" priority="3" operator="equal" aboveAverage="0" equalAverage="0" bottom="0" percent="0" rank="0" text="" dxfId="9">
      <formula>"No"</formula>
    </cfRule>
    <cfRule type="cellIs" priority="4" operator="equal" aboveAverage="0" equalAverage="0" bottom="0" percent="0" rank="0" text="" dxfId="10">
      <formula>"Parcial"</formula>
    </cfRule>
  </conditionalFormatting>
  <dataValidations count="2">
    <dataValidation allowBlank="true" errorStyle="stop" operator="between" showDropDown="false" showErrorMessage="false" showInputMessage="false" sqref="K6:K30" type="list">
      <formula1>"Sí,Parcial,No,A confirmar"</formula1>
      <formula2>0</formula2>
    </dataValidation>
    <dataValidation allowBlank="true" errorStyle="stop" operator="between" showDropDown="false" showErrorMessage="false" showInputMessage="false" sqref="I6:I30" type="list">
      <formula1>"Imprescindible,Importante,Deseable"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28"/>
  </cols>
  <sheetData>
    <row r="1" customFormat="false" ht="17.35" hidden="false" customHeight="false" outlineLevel="0" collapsed="false">
      <c r="A1" s="1" t="s">
        <v>222</v>
      </c>
    </row>
    <row r="2" customFormat="false" ht="15" hidden="false" customHeight="false" outlineLevel="0" collapsed="false">
      <c r="A2" s="11" t="s">
        <v>223</v>
      </c>
    </row>
    <row r="4" customFormat="false" ht="31.5" hidden="false" customHeight="true" outlineLevel="0" collapsed="false">
      <c r="A4" s="12" t="s">
        <v>224</v>
      </c>
      <c r="B4" s="12" t="s">
        <v>225</v>
      </c>
      <c r="C4" s="12" t="s">
        <v>226</v>
      </c>
      <c r="D4" s="12" t="s">
        <v>227</v>
      </c>
      <c r="E4" s="12" t="s">
        <v>228</v>
      </c>
      <c r="F4" s="12" t="s">
        <v>229</v>
      </c>
      <c r="G4" s="13" t="s">
        <v>230</v>
      </c>
      <c r="H4" s="13" t="s">
        <v>231</v>
      </c>
      <c r="I4" s="13" t="s">
        <v>232</v>
      </c>
      <c r="J4" s="13" t="s">
        <v>233</v>
      </c>
      <c r="K4" s="13" t="s">
        <v>40</v>
      </c>
    </row>
    <row r="5" customFormat="false" ht="42" hidden="false" customHeight="true" outlineLevel="0" collapsed="false">
      <c r="A5" s="15" t="s">
        <v>234</v>
      </c>
      <c r="B5" s="15" t="s">
        <v>235</v>
      </c>
      <c r="C5" s="15" t="s">
        <v>236</v>
      </c>
      <c r="D5" s="15" t="s">
        <v>57</v>
      </c>
      <c r="E5" s="15" t="s">
        <v>237</v>
      </c>
      <c r="F5" s="15" t="s">
        <v>238</v>
      </c>
    </row>
    <row r="6" customFormat="false" ht="42" hidden="false" customHeight="true" outlineLevel="0" collapsed="false">
      <c r="A6" s="15" t="s">
        <v>234</v>
      </c>
      <c r="B6" s="15" t="s">
        <v>239</v>
      </c>
      <c r="C6" s="15" t="s">
        <v>240</v>
      </c>
      <c r="D6" s="15" t="s">
        <v>70</v>
      </c>
      <c r="E6" s="15" t="s">
        <v>241</v>
      </c>
      <c r="F6" s="15" t="s">
        <v>242</v>
      </c>
    </row>
    <row r="7" customFormat="false" ht="42" hidden="false" customHeight="true" outlineLevel="0" collapsed="false">
      <c r="A7" s="15" t="s">
        <v>234</v>
      </c>
      <c r="B7" s="15" t="s">
        <v>243</v>
      </c>
      <c r="C7" s="15" t="s">
        <v>244</v>
      </c>
      <c r="D7" s="15" t="s">
        <v>70</v>
      </c>
      <c r="E7" s="15" t="s">
        <v>245</v>
      </c>
      <c r="F7" s="15" t="s">
        <v>246</v>
      </c>
    </row>
    <row r="8" customFormat="false" ht="42" hidden="false" customHeight="true" outlineLevel="0" collapsed="false">
      <c r="A8" s="15" t="s">
        <v>234</v>
      </c>
      <c r="B8" s="15" t="s">
        <v>247</v>
      </c>
      <c r="C8" s="15" t="s">
        <v>248</v>
      </c>
      <c r="D8" s="15" t="s">
        <v>70</v>
      </c>
      <c r="E8" s="15" t="s">
        <v>249</v>
      </c>
      <c r="F8" s="15" t="s">
        <v>250</v>
      </c>
    </row>
    <row r="9" customFormat="false" ht="42" hidden="false" customHeight="true" outlineLevel="0" collapsed="false">
      <c r="A9" s="15" t="s">
        <v>92</v>
      </c>
      <c r="B9" s="15" t="s">
        <v>251</v>
      </c>
      <c r="C9" s="15" t="s">
        <v>252</v>
      </c>
      <c r="D9" s="15" t="s">
        <v>70</v>
      </c>
      <c r="E9" s="15" t="s">
        <v>253</v>
      </c>
      <c r="F9" s="15" t="s">
        <v>254</v>
      </c>
    </row>
    <row r="10" customFormat="false" ht="42" hidden="false" customHeight="true" outlineLevel="0" collapsed="false">
      <c r="A10" s="15" t="s">
        <v>92</v>
      </c>
      <c r="B10" s="15" t="s">
        <v>255</v>
      </c>
      <c r="C10" s="15" t="s">
        <v>256</v>
      </c>
      <c r="D10" s="15" t="s">
        <v>103</v>
      </c>
      <c r="E10" s="15" t="s">
        <v>257</v>
      </c>
      <c r="F10" s="15" t="s">
        <v>258</v>
      </c>
    </row>
    <row r="11" customFormat="false" ht="42" hidden="false" customHeight="true" outlineLevel="0" collapsed="false">
      <c r="A11" s="15" t="s">
        <v>92</v>
      </c>
      <c r="B11" s="15" t="s">
        <v>259</v>
      </c>
      <c r="C11" s="15" t="s">
        <v>260</v>
      </c>
      <c r="D11" s="15" t="s">
        <v>103</v>
      </c>
      <c r="E11" s="15" t="s">
        <v>261</v>
      </c>
      <c r="F11" s="15" t="s">
        <v>262</v>
      </c>
    </row>
    <row r="12" customFormat="false" ht="42" hidden="false" customHeight="true" outlineLevel="0" collapsed="false">
      <c r="A12" s="15" t="s">
        <v>92</v>
      </c>
      <c r="B12" s="15" t="s">
        <v>263</v>
      </c>
      <c r="C12" s="15" t="s">
        <v>264</v>
      </c>
      <c r="D12" s="15" t="s">
        <v>57</v>
      </c>
      <c r="E12" s="15" t="s">
        <v>265</v>
      </c>
      <c r="F12" s="15" t="s">
        <v>266</v>
      </c>
    </row>
    <row r="13" customFormat="false" ht="42" hidden="false" customHeight="true" outlineLevel="0" collapsed="false">
      <c r="A13" s="15" t="s">
        <v>92</v>
      </c>
      <c r="B13" s="15" t="s">
        <v>267</v>
      </c>
      <c r="C13" s="15" t="s">
        <v>268</v>
      </c>
      <c r="D13" s="15" t="s">
        <v>70</v>
      </c>
      <c r="E13" s="15" t="s">
        <v>269</v>
      </c>
      <c r="F13" s="15" t="s">
        <v>270</v>
      </c>
    </row>
    <row r="14" customFormat="false" ht="42" hidden="false" customHeight="true" outlineLevel="0" collapsed="false">
      <c r="A14" s="15" t="s">
        <v>92</v>
      </c>
      <c r="B14" s="15" t="s">
        <v>271</v>
      </c>
      <c r="C14" s="15" t="s">
        <v>272</v>
      </c>
      <c r="D14" s="15" t="s">
        <v>44</v>
      </c>
      <c r="E14" s="15" t="s">
        <v>273</v>
      </c>
      <c r="F14" s="15" t="s">
        <v>274</v>
      </c>
    </row>
    <row r="15" customFormat="false" ht="42" hidden="false" customHeight="true" outlineLevel="0" collapsed="false">
      <c r="A15" s="15" t="s">
        <v>92</v>
      </c>
      <c r="B15" s="15" t="s">
        <v>275</v>
      </c>
      <c r="C15" s="15" t="s">
        <v>276</v>
      </c>
      <c r="D15" s="15" t="s">
        <v>70</v>
      </c>
      <c r="E15" s="15" t="s">
        <v>277</v>
      </c>
      <c r="F15" s="15" t="s">
        <v>278</v>
      </c>
    </row>
    <row r="16" customFormat="false" ht="42" hidden="false" customHeight="true" outlineLevel="0" collapsed="false">
      <c r="A16" s="15" t="s">
        <v>92</v>
      </c>
      <c r="B16" s="15" t="s">
        <v>279</v>
      </c>
      <c r="C16" s="15" t="s">
        <v>280</v>
      </c>
      <c r="D16" s="15" t="s">
        <v>70</v>
      </c>
      <c r="E16" s="15" t="s">
        <v>281</v>
      </c>
      <c r="F16" s="15" t="s">
        <v>282</v>
      </c>
    </row>
    <row r="17" customFormat="false" ht="42" hidden="false" customHeight="true" outlineLevel="0" collapsed="false">
      <c r="A17" s="15" t="s">
        <v>120</v>
      </c>
      <c r="B17" s="15" t="s">
        <v>283</v>
      </c>
      <c r="C17" s="15" t="s">
        <v>284</v>
      </c>
      <c r="D17" s="15" t="s">
        <v>70</v>
      </c>
      <c r="E17" s="15" t="s">
        <v>285</v>
      </c>
      <c r="F17" s="15" t="s">
        <v>286</v>
      </c>
    </row>
    <row r="18" customFormat="false" ht="42" hidden="false" customHeight="true" outlineLevel="0" collapsed="false">
      <c r="A18" s="15" t="s">
        <v>120</v>
      </c>
      <c r="B18" s="15" t="s">
        <v>287</v>
      </c>
      <c r="C18" s="15" t="s">
        <v>288</v>
      </c>
      <c r="D18" s="15" t="s">
        <v>289</v>
      </c>
      <c r="E18" s="15" t="s">
        <v>269</v>
      </c>
      <c r="F18" s="15" t="s">
        <v>290</v>
      </c>
    </row>
    <row r="19" customFormat="false" ht="42" hidden="false" customHeight="true" outlineLevel="0" collapsed="false">
      <c r="A19" s="15" t="s">
        <v>120</v>
      </c>
      <c r="B19" s="15" t="s">
        <v>291</v>
      </c>
      <c r="C19" s="15" t="s">
        <v>292</v>
      </c>
      <c r="D19" s="15" t="s">
        <v>289</v>
      </c>
      <c r="E19" s="15" t="s">
        <v>249</v>
      </c>
      <c r="F19" s="15" t="s">
        <v>293</v>
      </c>
    </row>
    <row r="20" customFormat="false" ht="42" hidden="false" customHeight="true" outlineLevel="0" collapsed="false">
      <c r="A20" s="15" t="s">
        <v>120</v>
      </c>
      <c r="B20" s="15" t="s">
        <v>294</v>
      </c>
      <c r="C20" s="15" t="s">
        <v>295</v>
      </c>
      <c r="D20" s="15" t="s">
        <v>70</v>
      </c>
      <c r="E20" s="15" t="s">
        <v>269</v>
      </c>
      <c r="F20" s="15" t="s">
        <v>296</v>
      </c>
    </row>
    <row r="21" customFormat="false" ht="42" hidden="false" customHeight="true" outlineLevel="0" collapsed="false">
      <c r="A21" s="15" t="s">
        <v>129</v>
      </c>
      <c r="B21" s="15" t="s">
        <v>297</v>
      </c>
      <c r="C21" s="15" t="s">
        <v>298</v>
      </c>
      <c r="D21" s="15" t="s">
        <v>70</v>
      </c>
      <c r="E21" s="15" t="s">
        <v>299</v>
      </c>
      <c r="F21" s="15" t="s">
        <v>300</v>
      </c>
    </row>
    <row r="22" customFormat="false" ht="42" hidden="false" customHeight="true" outlineLevel="0" collapsed="false">
      <c r="A22" s="15" t="s">
        <v>129</v>
      </c>
      <c r="B22" s="15" t="s">
        <v>301</v>
      </c>
      <c r="C22" s="15" t="s">
        <v>302</v>
      </c>
      <c r="D22" s="15" t="s">
        <v>133</v>
      </c>
      <c r="E22" s="15" t="s">
        <v>303</v>
      </c>
      <c r="F22" s="15" t="s">
        <v>304</v>
      </c>
    </row>
    <row r="23" customFormat="false" ht="42" hidden="false" customHeight="true" outlineLevel="0" collapsed="false">
      <c r="A23" s="15" t="s">
        <v>129</v>
      </c>
      <c r="B23" s="15" t="s">
        <v>305</v>
      </c>
      <c r="C23" s="15" t="s">
        <v>306</v>
      </c>
      <c r="D23" s="15" t="s">
        <v>133</v>
      </c>
      <c r="E23" s="15" t="s">
        <v>307</v>
      </c>
      <c r="F23" s="15" t="s">
        <v>308</v>
      </c>
    </row>
    <row r="24" customFormat="false" ht="42" hidden="false" customHeight="true" outlineLevel="0" collapsed="false">
      <c r="A24" s="15" t="s">
        <v>129</v>
      </c>
      <c r="B24" s="15" t="s">
        <v>309</v>
      </c>
      <c r="C24" s="15" t="s">
        <v>295</v>
      </c>
      <c r="D24" s="15" t="s">
        <v>70</v>
      </c>
      <c r="E24" s="15" t="s">
        <v>269</v>
      </c>
      <c r="F24" s="15" t="s">
        <v>293</v>
      </c>
    </row>
    <row r="25" customFormat="false" ht="42" hidden="false" customHeight="true" outlineLevel="0" collapsed="false">
      <c r="A25" s="15" t="s">
        <v>310</v>
      </c>
      <c r="B25" s="15" t="s">
        <v>311</v>
      </c>
      <c r="C25" s="15" t="s">
        <v>312</v>
      </c>
      <c r="D25" s="15" t="s">
        <v>70</v>
      </c>
      <c r="E25" s="15" t="s">
        <v>313</v>
      </c>
      <c r="F25" s="15" t="s">
        <v>314</v>
      </c>
    </row>
    <row r="26" customFormat="false" ht="42" hidden="false" customHeight="true" outlineLevel="0" collapsed="false">
      <c r="A26" s="15" t="s">
        <v>310</v>
      </c>
      <c r="B26" s="15" t="s">
        <v>315</v>
      </c>
      <c r="C26" s="15" t="s">
        <v>316</v>
      </c>
      <c r="D26" s="15" t="s">
        <v>141</v>
      </c>
      <c r="E26" s="15" t="s">
        <v>317</v>
      </c>
      <c r="F26" s="15" t="s">
        <v>318</v>
      </c>
    </row>
    <row r="27" customFormat="false" ht="42" hidden="false" customHeight="true" outlineLevel="0" collapsed="false">
      <c r="A27" s="15" t="s">
        <v>180</v>
      </c>
      <c r="B27" s="15" t="s">
        <v>319</v>
      </c>
      <c r="C27" s="15" t="s">
        <v>320</v>
      </c>
      <c r="D27" s="15" t="s">
        <v>70</v>
      </c>
      <c r="E27" s="15" t="s">
        <v>321</v>
      </c>
      <c r="F27" s="15" t="s">
        <v>322</v>
      </c>
    </row>
  </sheetData>
  <autoFilter ref="A4:K27"/>
  <dataValidations count="2">
    <dataValidation allowBlank="true" errorStyle="stop" operator="between" showDropDown="false" showErrorMessage="false" showInputMessage="false" sqref="G5:G27" type="list">
      <formula1>"Sí,Parcial,No,A confirmar"</formula1>
      <formula2>0</formula2>
    </dataValidation>
    <dataValidation allowBlank="true" errorStyle="stop" operator="between" showDropDown="false" showErrorMessage="false" showInputMessage="false" sqref="J5:J27" type="list">
      <formula1>"Inicio,Fin,Las dos,Ninguna"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3" min="3" style="0" width="6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323</v>
      </c>
    </row>
    <row r="2" customFormat="false" ht="15" hidden="false" customHeight="false" outlineLevel="0" collapsed="false">
      <c r="A2" s="11" t="s">
        <v>324</v>
      </c>
    </row>
    <row r="4" customFormat="false" ht="31.5" hidden="false" customHeight="true" outlineLevel="0" collapsed="false">
      <c r="A4" s="12" t="s">
        <v>325</v>
      </c>
      <c r="B4" s="12" t="s">
        <v>326</v>
      </c>
      <c r="C4" s="12" t="s">
        <v>327</v>
      </c>
      <c r="D4" s="12" t="s">
        <v>328</v>
      </c>
    </row>
    <row r="5" customFormat="false" ht="30" hidden="false" customHeight="true" outlineLevel="0" collapsed="false">
      <c r="A5" s="15" t="s">
        <v>329</v>
      </c>
      <c r="B5" s="15" t="s">
        <v>330</v>
      </c>
      <c r="C5" s="15" t="s">
        <v>331</v>
      </c>
      <c r="D5" s="15" t="s">
        <v>51</v>
      </c>
    </row>
    <row r="6" customFormat="false" ht="30" hidden="false" customHeight="true" outlineLevel="0" collapsed="false">
      <c r="A6" s="15" t="s">
        <v>329</v>
      </c>
      <c r="B6" s="15" t="s">
        <v>332</v>
      </c>
      <c r="C6" s="15" t="s">
        <v>333</v>
      </c>
      <c r="D6" s="15" t="s">
        <v>334</v>
      </c>
    </row>
    <row r="7" customFormat="false" ht="30" hidden="false" customHeight="true" outlineLevel="0" collapsed="false">
      <c r="A7" s="15" t="s">
        <v>329</v>
      </c>
      <c r="B7" s="15" t="s">
        <v>335</v>
      </c>
      <c r="C7" s="15" t="s">
        <v>336</v>
      </c>
      <c r="D7" s="15" t="s">
        <v>337</v>
      </c>
    </row>
    <row r="8" customFormat="false" ht="30" hidden="false" customHeight="true" outlineLevel="0" collapsed="false">
      <c r="A8" s="15" t="s">
        <v>329</v>
      </c>
      <c r="B8" s="15" t="s">
        <v>242</v>
      </c>
      <c r="C8" s="15" t="s">
        <v>338</v>
      </c>
      <c r="D8" s="15" t="s">
        <v>339</v>
      </c>
    </row>
    <row r="9" customFormat="false" ht="30" hidden="false" customHeight="true" outlineLevel="0" collapsed="false">
      <c r="A9" s="15" t="s">
        <v>340</v>
      </c>
      <c r="B9" s="15" t="s">
        <v>341</v>
      </c>
      <c r="C9" s="15" t="s">
        <v>342</v>
      </c>
      <c r="D9" s="15" t="s">
        <v>73</v>
      </c>
    </row>
    <row r="10" customFormat="false" ht="30" hidden="false" customHeight="true" outlineLevel="0" collapsed="false">
      <c r="A10" s="15" t="s">
        <v>340</v>
      </c>
      <c r="B10" s="15" t="s">
        <v>343</v>
      </c>
      <c r="C10" s="15" t="s">
        <v>344</v>
      </c>
      <c r="D10" s="15" t="s">
        <v>345</v>
      </c>
    </row>
    <row r="11" customFormat="false" ht="30" hidden="false" customHeight="true" outlineLevel="0" collapsed="false">
      <c r="A11" s="15" t="s">
        <v>340</v>
      </c>
      <c r="B11" s="15" t="s">
        <v>346</v>
      </c>
      <c r="C11" s="15" t="s">
        <v>347</v>
      </c>
      <c r="D11" s="15" t="s">
        <v>112</v>
      </c>
    </row>
    <row r="12" customFormat="false" ht="30" hidden="false" customHeight="true" outlineLevel="0" collapsed="false">
      <c r="A12" s="15" t="s">
        <v>348</v>
      </c>
      <c r="B12" s="15" t="s">
        <v>349</v>
      </c>
      <c r="C12" s="15" t="s">
        <v>350</v>
      </c>
      <c r="D12" s="15" t="s">
        <v>351</v>
      </c>
    </row>
    <row r="13" customFormat="false" ht="30" hidden="false" customHeight="true" outlineLevel="0" collapsed="false">
      <c r="A13" s="15" t="s">
        <v>348</v>
      </c>
      <c r="B13" s="15" t="s">
        <v>215</v>
      </c>
      <c r="C13" s="15" t="s">
        <v>352</v>
      </c>
      <c r="D13" s="15" t="s">
        <v>353</v>
      </c>
    </row>
    <row r="14" customFormat="false" ht="30" hidden="false" customHeight="true" outlineLevel="0" collapsed="false">
      <c r="A14" s="15" t="s">
        <v>354</v>
      </c>
      <c r="B14" s="15" t="s">
        <v>293</v>
      </c>
      <c r="C14" s="15" t="s">
        <v>355</v>
      </c>
      <c r="D14" s="15" t="s">
        <v>356</v>
      </c>
    </row>
    <row r="15" customFormat="false" ht="30" hidden="false" customHeight="true" outlineLevel="0" collapsed="false">
      <c r="A15" s="15" t="s">
        <v>357</v>
      </c>
      <c r="B15" s="15" t="s">
        <v>358</v>
      </c>
      <c r="C15" s="15" t="s">
        <v>359</v>
      </c>
      <c r="D15" s="15" t="s">
        <v>360</v>
      </c>
    </row>
    <row r="16" customFormat="false" ht="30" hidden="false" customHeight="true" outlineLevel="0" collapsed="false">
      <c r="A16" s="15" t="s">
        <v>357</v>
      </c>
      <c r="B16" s="15" t="s">
        <v>361</v>
      </c>
      <c r="C16" s="15" t="s">
        <v>362</v>
      </c>
      <c r="D16" s="15" t="s">
        <v>363</v>
      </c>
    </row>
    <row r="17" customFormat="false" ht="30" hidden="false" customHeight="true" outlineLevel="0" collapsed="false">
      <c r="A17" s="15" t="s">
        <v>357</v>
      </c>
      <c r="B17" s="15" t="s">
        <v>364</v>
      </c>
      <c r="C17" s="15" t="s">
        <v>365</v>
      </c>
      <c r="D17" s="15" t="s">
        <v>366</v>
      </c>
    </row>
    <row r="18" customFormat="false" ht="30" hidden="false" customHeight="true" outlineLevel="0" collapsed="false">
      <c r="A18" s="15" t="s">
        <v>367</v>
      </c>
      <c r="B18" s="15" t="s">
        <v>368</v>
      </c>
      <c r="C18" s="15" t="s">
        <v>369</v>
      </c>
      <c r="D18" s="15" t="s">
        <v>370</v>
      </c>
    </row>
    <row r="19" customFormat="false" ht="30" hidden="false" customHeight="true" outlineLevel="0" collapsed="false">
      <c r="A19" s="15" t="s">
        <v>367</v>
      </c>
      <c r="B19" s="15" t="s">
        <v>371</v>
      </c>
      <c r="C19" s="15" t="s">
        <v>372</v>
      </c>
      <c r="D19" s="15" t="s">
        <v>373</v>
      </c>
    </row>
    <row r="20" customFormat="false" ht="30" hidden="false" customHeight="true" outlineLevel="0" collapsed="false">
      <c r="A20" s="15" t="s">
        <v>367</v>
      </c>
      <c r="B20" s="15" t="s">
        <v>374</v>
      </c>
      <c r="C20" s="15" t="s">
        <v>375</v>
      </c>
      <c r="D20" s="15" t="s">
        <v>376</v>
      </c>
    </row>
    <row r="21" customFormat="false" ht="30" hidden="false" customHeight="true" outlineLevel="0" collapsed="false">
      <c r="A21" s="15" t="s">
        <v>367</v>
      </c>
      <c r="B21" s="15" t="s">
        <v>377</v>
      </c>
      <c r="C21" s="15" t="s">
        <v>378</v>
      </c>
      <c r="D21" s="15" t="s">
        <v>379</v>
      </c>
    </row>
    <row r="22" customFormat="false" ht="30" hidden="false" customHeight="true" outlineLevel="0" collapsed="false">
      <c r="A22" s="15" t="s">
        <v>380</v>
      </c>
      <c r="B22" s="15" t="s">
        <v>381</v>
      </c>
      <c r="C22" s="15" t="s">
        <v>382</v>
      </c>
      <c r="D22" s="15" t="s">
        <v>383</v>
      </c>
    </row>
    <row r="23" customFormat="false" ht="30" hidden="false" customHeight="true" outlineLevel="0" collapsed="false">
      <c r="A23" s="15" t="s">
        <v>380</v>
      </c>
      <c r="B23" s="15" t="s">
        <v>384</v>
      </c>
      <c r="C23" s="15" t="s">
        <v>385</v>
      </c>
      <c r="D23" s="15" t="s">
        <v>386</v>
      </c>
    </row>
    <row r="24" customFormat="false" ht="30" hidden="false" customHeight="true" outlineLevel="0" collapsed="false">
      <c r="A24" s="15" t="s">
        <v>387</v>
      </c>
      <c r="B24" s="15" t="s">
        <v>388</v>
      </c>
      <c r="C24" s="15" t="s">
        <v>389</v>
      </c>
      <c r="D24" s="15" t="s">
        <v>390</v>
      </c>
    </row>
    <row r="25" customFormat="false" ht="30" hidden="false" customHeight="true" outlineLevel="0" collapsed="false">
      <c r="A25" s="15" t="s">
        <v>391</v>
      </c>
      <c r="B25" s="15" t="s">
        <v>392</v>
      </c>
      <c r="C25" s="15" t="s">
        <v>393</v>
      </c>
      <c r="D25" s="15" t="s">
        <v>394</v>
      </c>
    </row>
  </sheetData>
  <autoFilter ref="A4:D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395</v>
      </c>
    </row>
    <row r="2" customFormat="false" ht="15" hidden="false" customHeight="false" outlineLevel="0" collapsed="false">
      <c r="A2" s="11" t="s">
        <v>396</v>
      </c>
    </row>
    <row r="4" customFormat="false" ht="31.5" hidden="false" customHeight="true" outlineLevel="0" collapsed="false">
      <c r="A4" s="12" t="s">
        <v>397</v>
      </c>
      <c r="B4" s="12" t="s">
        <v>398</v>
      </c>
      <c r="C4" s="12" t="s">
        <v>399</v>
      </c>
      <c r="D4" s="12" t="s">
        <v>400</v>
      </c>
      <c r="E4" s="13" t="s">
        <v>35</v>
      </c>
      <c r="F4" s="13" t="s">
        <v>401</v>
      </c>
      <c r="G4" s="13" t="s">
        <v>40</v>
      </c>
    </row>
    <row r="5" customFormat="false" ht="15" hidden="false" customHeight="false" outlineLevel="0" collapsed="false">
      <c r="A5" s="15" t="s">
        <v>402</v>
      </c>
      <c r="B5" s="15" t="s">
        <v>403</v>
      </c>
      <c r="C5" s="15" t="s">
        <v>404</v>
      </c>
      <c r="D5" s="15" t="s">
        <v>405</v>
      </c>
    </row>
    <row r="6" customFormat="false" ht="15" hidden="false" customHeight="false" outlineLevel="0" collapsed="false">
      <c r="A6" s="15" t="s">
        <v>406</v>
      </c>
      <c r="B6" s="15" t="s">
        <v>407</v>
      </c>
      <c r="C6" s="15" t="s">
        <v>57</v>
      </c>
      <c r="D6" s="15" t="s">
        <v>405</v>
      </c>
    </row>
    <row r="7" customFormat="false" ht="15" hidden="false" customHeight="false" outlineLevel="0" collapsed="false">
      <c r="A7" s="15" t="s">
        <v>408</v>
      </c>
      <c r="B7" s="15" t="s">
        <v>409</v>
      </c>
      <c r="C7" s="15" t="s">
        <v>57</v>
      </c>
      <c r="D7" s="15" t="s">
        <v>410</v>
      </c>
    </row>
    <row r="8" customFormat="false" ht="23.85" hidden="false" customHeight="false" outlineLevel="0" collapsed="false">
      <c r="A8" s="15" t="s">
        <v>411</v>
      </c>
      <c r="B8" s="15" t="s">
        <v>412</v>
      </c>
      <c r="C8" s="15" t="s">
        <v>404</v>
      </c>
      <c r="D8" s="15" t="s">
        <v>377</v>
      </c>
    </row>
    <row r="9" customFormat="false" ht="15" hidden="false" customHeight="false" outlineLevel="0" collapsed="false">
      <c r="A9" s="15" t="s">
        <v>413</v>
      </c>
      <c r="B9" s="15" t="s">
        <v>414</v>
      </c>
      <c r="C9" s="15" t="s">
        <v>404</v>
      </c>
      <c r="D9" s="15" t="s">
        <v>377</v>
      </c>
    </row>
    <row r="10" customFormat="false" ht="15" hidden="false" customHeight="false" outlineLevel="0" collapsed="false">
      <c r="A10" s="15" t="s">
        <v>415</v>
      </c>
      <c r="B10" s="15" t="s">
        <v>416</v>
      </c>
      <c r="C10" s="15" t="s">
        <v>404</v>
      </c>
      <c r="D10" s="15" t="s">
        <v>377</v>
      </c>
    </row>
    <row r="11" customFormat="false" ht="15" hidden="false" customHeight="false" outlineLevel="0" collapsed="false">
      <c r="A11" s="15" t="s">
        <v>417</v>
      </c>
      <c r="B11" s="15" t="s">
        <v>418</v>
      </c>
      <c r="C11" s="15" t="s">
        <v>404</v>
      </c>
      <c r="D11" s="15" t="s">
        <v>419</v>
      </c>
    </row>
    <row r="12" customFormat="false" ht="15" hidden="false" customHeight="false" outlineLevel="0" collapsed="false">
      <c r="A12" s="15" t="s">
        <v>420</v>
      </c>
      <c r="B12" s="15" t="s">
        <v>421</v>
      </c>
      <c r="C12" s="15" t="s">
        <v>70</v>
      </c>
      <c r="D12" s="15" t="s">
        <v>377</v>
      </c>
    </row>
    <row r="13" customFormat="false" ht="15" hidden="false" customHeight="false" outlineLevel="0" collapsed="false">
      <c r="A13" s="15" t="s">
        <v>422</v>
      </c>
      <c r="B13" s="15" t="s">
        <v>423</v>
      </c>
      <c r="C13" s="15" t="s">
        <v>70</v>
      </c>
      <c r="D13" s="15" t="s">
        <v>424</v>
      </c>
    </row>
    <row r="14" customFormat="false" ht="15" hidden="false" customHeight="false" outlineLevel="0" collapsed="false">
      <c r="A14" s="15" t="s">
        <v>425</v>
      </c>
      <c r="B14" s="15" t="s">
        <v>426</v>
      </c>
      <c r="C14" s="15" t="s">
        <v>133</v>
      </c>
      <c r="D14" s="15" t="s">
        <v>427</v>
      </c>
    </row>
    <row r="15" customFormat="false" ht="15" hidden="false" customHeight="false" outlineLevel="0" collapsed="false">
      <c r="A15" s="15" t="s">
        <v>428</v>
      </c>
      <c r="B15" s="15" t="s">
        <v>429</v>
      </c>
      <c r="C15" s="15" t="s">
        <v>70</v>
      </c>
      <c r="D15" s="15" t="s">
        <v>149</v>
      </c>
    </row>
  </sheetData>
  <autoFilter ref="A4:G15"/>
  <dataValidations count="1">
    <dataValidation allowBlank="true" errorStyle="stop" operator="between" showDropDown="false" showErrorMessage="false" showInputMessage="false" sqref="E5:E15" type="list">
      <formula1>"Sí,Parcial,No,A confirmar"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430</v>
      </c>
    </row>
    <row r="2" customFormat="false" ht="15" hidden="false" customHeight="false" outlineLevel="0" collapsed="false">
      <c r="A2" s="11" t="s">
        <v>431</v>
      </c>
    </row>
    <row r="4" customFormat="false" ht="31.5" hidden="false" customHeight="true" outlineLevel="0" collapsed="false">
      <c r="A4" s="12" t="s">
        <v>227</v>
      </c>
      <c r="B4" s="12" t="s">
        <v>432</v>
      </c>
      <c r="C4" s="12" t="s">
        <v>433</v>
      </c>
      <c r="D4" s="12" t="s">
        <v>434</v>
      </c>
      <c r="E4" s="13" t="s">
        <v>435</v>
      </c>
      <c r="F4" s="13" t="s">
        <v>436</v>
      </c>
    </row>
    <row r="5" customFormat="false" ht="39.75" hidden="false" customHeight="true" outlineLevel="0" collapsed="false">
      <c r="A5" s="15" t="s">
        <v>57</v>
      </c>
      <c r="B5" s="15" t="s">
        <v>437</v>
      </c>
      <c r="C5" s="15" t="s">
        <v>438</v>
      </c>
      <c r="D5" s="15" t="s">
        <v>51</v>
      </c>
    </row>
    <row r="6" customFormat="false" ht="39.75" hidden="false" customHeight="true" outlineLevel="0" collapsed="false">
      <c r="A6" s="15" t="s">
        <v>439</v>
      </c>
      <c r="B6" s="15" t="s">
        <v>440</v>
      </c>
      <c r="C6" s="15" t="s">
        <v>441</v>
      </c>
      <c r="D6" s="15" t="s">
        <v>59</v>
      </c>
    </row>
    <row r="7" customFormat="false" ht="39.75" hidden="false" customHeight="true" outlineLevel="0" collapsed="false">
      <c r="A7" s="15" t="s">
        <v>70</v>
      </c>
      <c r="B7" s="15" t="s">
        <v>442</v>
      </c>
      <c r="C7" s="15" t="s">
        <v>443</v>
      </c>
      <c r="D7" s="15" t="s">
        <v>66</v>
      </c>
    </row>
    <row r="8" customFormat="false" ht="39.75" hidden="false" customHeight="true" outlineLevel="0" collapsed="false">
      <c r="A8" s="15" t="s">
        <v>70</v>
      </c>
      <c r="B8" s="15" t="s">
        <v>444</v>
      </c>
      <c r="C8" s="15" t="s">
        <v>445</v>
      </c>
      <c r="D8" s="15" t="s">
        <v>79</v>
      </c>
    </row>
    <row r="9" customFormat="false" ht="39.75" hidden="false" customHeight="true" outlineLevel="0" collapsed="false">
      <c r="A9" s="15" t="s">
        <v>70</v>
      </c>
      <c r="B9" s="15" t="s">
        <v>446</v>
      </c>
      <c r="C9" s="15" t="s">
        <v>447</v>
      </c>
      <c r="D9" s="15" t="s">
        <v>105</v>
      </c>
    </row>
    <row r="10" customFormat="false" ht="39.75" hidden="false" customHeight="true" outlineLevel="0" collapsed="false">
      <c r="A10" s="15" t="s">
        <v>70</v>
      </c>
      <c r="B10" s="15" t="s">
        <v>448</v>
      </c>
      <c r="C10" s="15" t="s">
        <v>449</v>
      </c>
      <c r="D10" s="15" t="s">
        <v>154</v>
      </c>
    </row>
    <row r="11" customFormat="false" ht="39.75" hidden="false" customHeight="true" outlineLevel="0" collapsed="false">
      <c r="A11" s="15" t="s">
        <v>70</v>
      </c>
      <c r="B11" s="15" t="s">
        <v>450</v>
      </c>
      <c r="C11" s="15" t="s">
        <v>451</v>
      </c>
      <c r="D11" s="15" t="s">
        <v>148</v>
      </c>
    </row>
    <row r="12" customFormat="false" ht="39.75" hidden="false" customHeight="true" outlineLevel="0" collapsed="false">
      <c r="A12" s="15" t="s">
        <v>289</v>
      </c>
      <c r="B12" s="15" t="s">
        <v>452</v>
      </c>
      <c r="C12" s="15" t="s">
        <v>364</v>
      </c>
      <c r="D12" s="15" t="s">
        <v>453</v>
      </c>
    </row>
    <row r="13" customFormat="false" ht="39.75" hidden="false" customHeight="true" outlineLevel="0" collapsed="false">
      <c r="A13" s="15" t="s">
        <v>103</v>
      </c>
      <c r="B13" s="15" t="s">
        <v>454</v>
      </c>
      <c r="C13" s="15" t="s">
        <v>262</v>
      </c>
      <c r="D13" s="15" t="s">
        <v>98</v>
      </c>
    </row>
    <row r="14" customFormat="false" ht="39.75" hidden="false" customHeight="true" outlineLevel="0" collapsed="false">
      <c r="A14" s="15" t="s">
        <v>455</v>
      </c>
      <c r="B14" s="15" t="s">
        <v>456</v>
      </c>
      <c r="C14" s="15" t="s">
        <v>457</v>
      </c>
      <c r="D14" s="15" t="s">
        <v>119</v>
      </c>
    </row>
    <row r="15" customFormat="false" ht="39.75" hidden="false" customHeight="true" outlineLevel="0" collapsed="false">
      <c r="A15" s="15" t="s">
        <v>458</v>
      </c>
      <c r="B15" s="15" t="s">
        <v>459</v>
      </c>
      <c r="C15" s="15" t="s">
        <v>460</v>
      </c>
      <c r="D15" s="15" t="s">
        <v>128</v>
      </c>
    </row>
    <row r="16" customFormat="false" ht="39.75" hidden="false" customHeight="true" outlineLevel="0" collapsed="false">
      <c r="A16" s="15" t="s">
        <v>70</v>
      </c>
      <c r="B16" s="15" t="s">
        <v>461</v>
      </c>
      <c r="C16" s="15" t="s">
        <v>462</v>
      </c>
      <c r="D16" s="15" t="s">
        <v>112</v>
      </c>
    </row>
    <row r="17" customFormat="false" ht="39.75" hidden="false" customHeight="true" outlineLevel="0" collapsed="false">
      <c r="A17" s="15" t="s">
        <v>70</v>
      </c>
      <c r="B17" s="15" t="s">
        <v>463</v>
      </c>
      <c r="C17" s="15" t="s">
        <v>384</v>
      </c>
      <c r="D17" s="15" t="s">
        <v>73</v>
      </c>
    </row>
    <row r="18" customFormat="false" ht="39.75" hidden="false" customHeight="true" outlineLevel="0" collapsed="false">
      <c r="A18" s="15" t="s">
        <v>70</v>
      </c>
      <c r="B18" s="15" t="s">
        <v>464</v>
      </c>
      <c r="C18" s="15" t="s">
        <v>147</v>
      </c>
      <c r="D18" s="15" t="s">
        <v>143</v>
      </c>
    </row>
    <row r="19" customFormat="false" ht="39.75" hidden="false" customHeight="true" outlineLevel="0" collapsed="false">
      <c r="A19" s="15" t="s">
        <v>465</v>
      </c>
      <c r="B19" s="15" t="s">
        <v>466</v>
      </c>
      <c r="C19" s="15" t="s">
        <v>467</v>
      </c>
      <c r="D19" s="15" t="s">
        <v>468</v>
      </c>
    </row>
  </sheetData>
  <autoFilter ref="A4:F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2026-10-16T08:15:27Z</dcterms:created>
  <dc:creator>openpyxl</dc:creator>
  <dc:description/>
  <dc:language>en-US</dc:language>
  <cp:lastModifiedBy/>
  <dcterms:modified xsi:type="dcterms:W3CDTF">2026-10-16T08:15:27Z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