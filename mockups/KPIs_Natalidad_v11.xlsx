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éeme" sheetId="1" state="visible" r:id="rId3"/>
    <sheet name="KPIs" sheetId="2" state="visible" r:id="rId4"/>
    <sheet name="Cuadres" sheetId="3" state="visible" r:id="rId5"/>
    <sheet name="Para la reunión" sheetId="4" state="visible" r:id="rId6"/>
    <sheet name="Datos" sheetId="5" state="visible" r:id="rId7"/>
    <sheet name="Nómina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<sst xmlns="http://schemas.openxmlformats.org/spreadsheetml/2006/main" count="424" uniqueCount="335">
  <si>
    <t xml:space="preserve">KPIs del mockup de Natalidad v11 · para entender cada número</t>
  </si>
  <si>
    <t xml:space="preserve">Periodo del mockup por defecto: del 01/11/2025 al 13/10/2026 (foto a 13/10/2026). Todas las cifras salen de la maqueta v11, con datos ilustrativos.</t>
  </si>
  <si>
    <t xml:space="preserve">Pestañas:</t>
  </si>
  <si>
    <t xml:space="preserve">· KPIs: los 16 indicadores de la cabecera. Qué mide cada uno, cómo se calcula, el valor (con fórmula), el dato que aparece debajo, cómo leerlo, quién lo pidió y qué vigilar.</t>
  </si>
  <si>
    <t xml:space="preserve">· Datos: las cifras de base que usan las fórmulas. Si cambias una, se recalculan los KPIs y los cuadres.</t>
  </si>
  <si>
    <t xml:space="preserve">· Cuadres: comprobaciones de que los KPIs encajan entre sí.</t>
  </si>
  <si>
    <t xml:space="preserve">· Nómina: las 11 nóminas del periodo, con la comprobación mes a mes de beneficiarias.</t>
  </si>
  <si>
    <t xml:space="preserve">· Para la reunión: los puntos que pueden despistar y cómo explicarlos.</t>
  </si>
  <si>
    <t xml:space="preserve">Colores: texto azul = cifra tomada de la maqueta (dato de entrada). Texto negro = fórmula.</t>
  </si>
  <si>
    <t xml:space="preserve">Fuentes citadas: «Doc.» = documento de indicadores de la Subdirección (05/10); Pablo 05/10 = gestión económica; 06/10 y 08/10 = reuniones internas y con Sofía y Enrique; E2E = documento AS-IS.</t>
  </si>
  <si>
    <t xml:space="preserve">Nº</t>
  </si>
  <si>
    <t xml:space="preserve">Fila</t>
  </si>
  <si>
    <t xml:space="preserve">Indicador</t>
  </si>
  <si>
    <t xml:space="preserve">Qué mide</t>
  </si>
  <si>
    <t xml:space="preserve">Cálculo</t>
  </si>
  <si>
    <t xml:space="preserve">Valor</t>
  </si>
  <si>
    <t xml:space="preserve">Dato que aparece debajo</t>
  </si>
  <si>
    <t xml:space="preserve">Valor del dato de debajo</t>
  </si>
  <si>
    <t xml:space="preserve">Cómo leerlo</t>
  </si>
  <si>
    <t xml:space="preserve">Quién lo pidió</t>
  </si>
  <si>
    <t xml:space="preserve">Fuente del dato</t>
  </si>
  <si>
    <t xml:space="preserve">Ojo / para la reunión</t>
  </si>
  <si>
    <t xml:space="preserve">Entrada y stock</t>
  </si>
  <si>
    <t xml:space="preserve">Solicitudes recibidas</t>
  </si>
  <si>
    <t xml:space="preserve">Demanda: solicitudes iniciales que entran por el registro en el periodo.</t>
  </si>
  <si>
    <t xml:space="preserve">Solicitudes con asiento en eReg en el periodo</t>
  </si>
  <si>
    <t xml:space="preserve">Variación frente al periodo anterior</t>
  </si>
  <si>
    <t xml:space="preserve">Más solicitudes = más carga. Compararlo con la tasa de salida: si entra más de lo que sale, la bolsa crece.</t>
  </si>
  <si>
    <t xml:space="preserve">Doc. §1 (primera fila) y §2 «Variación de la demanda»</t>
  </si>
  <si>
    <t xml:space="preserve">eReg</t>
  </si>
  <si>
    <t xml:space="preserve">Necesita eReg: hoy Atlantix solo ve lo ya dado de alta.</t>
  </si>
  <si>
    <t xml:space="preserve">Otros registros</t>
  </si>
  <si>
    <t xml:space="preserve">Todo lo que entra por registro y no es una solicitud inicial.</t>
  </si>
  <si>
    <t xml:space="preserve">Aportaciones + comunicaciones + genéricas + duplicados técnicos + anulados</t>
  </si>
  <si>
    <t xml:space="preserve">Aportaciones por cada 100 solicitudes</t>
  </si>
  <si>
    <t xml:space="preserve">Mide intensidad documental, no personas. Si sube, piden más documentos por expediente.</t>
  </si>
  <si>
    <t xml:space="preserve">Doc. §1: lo excluido «deberá consignarse como otro indicador»; Enrique 06/10: las genéricas son «un sesgo»</t>
  </si>
  <si>
    <t xml:space="preserve">Cifra ilustrativa alta: la empujan los certificados de nacimiento de las gestantes.</t>
  </si>
  <si>
    <t xml:space="preserve">Pendientes de alta</t>
  </si>
  <si>
    <t xml:space="preserve">Bolsa previa: registradas que nadie ha dado de alta todavía.</t>
  </si>
  <si>
    <t xml:space="preserve">Solicitudes en la bandeja de registros sin expediente, a la fecha de corte</t>
  </si>
  <si>
    <t xml:space="preserve">Días de la más antigua</t>
  </si>
  <si>
    <t xml:space="preserve">Es el backlog de entrada. Si la más antigua pasa de 45 días se marca en rojo.</t>
  </si>
  <si>
    <t xml:space="preserve">Doc. §1; Enrique 06/10: «backlog de mes y medio, el número 627… hay que pintarlo»</t>
  </si>
  <si>
    <t xml:space="preserve">eReg + Atlantix</t>
  </si>
  <si>
    <t xml:space="preserve">Coincide con lo que contó Enrique (627 y mes y medio).</t>
  </si>
  <si>
    <t xml:space="preserve">En tramitación</t>
  </si>
  <si>
    <t xml:space="preserve">Expedientes que se están estudiando ahora mismo.</t>
  </si>
  <si>
    <t xml:space="preserve">Expedientes en «Gestión Expediente» o «Requerimiento» a la fecha de corte</t>
  </si>
  <si>
    <t xml:space="preserve">De ellos, en «Requerimiento»</t>
  </si>
  <si>
    <t xml:space="preserve">Carga de trabajo de la unidad. No incluye lo que ya tiene propuesta ni lo que está en nómina.</t>
  </si>
  <si>
    <t xml:space="preserve">Doc. §1; Lourdes 06/10: coincide con la etapa gestión de expedientes</t>
  </si>
  <si>
    <t xml:space="preserve">Atlantix</t>
  </si>
  <si>
    <t xml:space="preserve">Propuestas favorables</t>
  </si>
  <si>
    <t xml:space="preserve">Expedientes ya revisados con propuesta favorable que aún no tienen resolución.</t>
  </si>
  <si>
    <t xml:space="preserve">Propuestas sin resolver; importe = atrasos + mensualidad propuesta + resto del año</t>
  </si>
  <si>
    <t xml:space="preserve">Importe de los pagos propuestos</t>
  </si>
  <si>
    <t xml:space="preserve">Dice cuánto dinero viene en camino sin tener que proponer y desproponer.</t>
  </si>
  <si>
    <t xml:space="preserve">Comentario de la unidad en el Doc. §1 (fila PF); E2E A-005</t>
  </si>
  <si>
    <t xml:space="preserve">Atlantix (AEFN)</t>
  </si>
  <si>
    <t xml:space="preserve">Debajo, en el mockup, también: cuántas van a la nómina de noviembre (526).</t>
  </si>
  <si>
    <t xml:space="preserve">Favorables por pagar</t>
  </si>
  <si>
    <t xml:space="preserve">Favorables que todavía no han cobrado por primera vez, por causa.</t>
  </si>
  <si>
    <t xml:space="preserve">Con propuesta o resolución favorable y sin primer pago</t>
  </si>
  <si>
    <t xml:space="preserve">% por demora administrativa (la causa principal)</t>
  </si>
  <si>
    <t xml:space="preserve">Las causas son las del Doc.: nómina, tercero, demora administrativa y crédito.</t>
  </si>
  <si>
    <t xml:space="preserve">Doc. §1 «Nº de expedientes resueltos favorables pendientes de pago»</t>
  </si>
  <si>
    <t xml:space="preserve">Atlantix + Nexus</t>
  </si>
  <si>
    <t xml:space="preserve">Es una foto que depende del día: el 13 el lote de noviembre lleva un día en la Intervención y cuenta como «demora».</t>
  </si>
  <si>
    <t xml:space="preserve">En suspensión</t>
  </si>
  <si>
    <t xml:space="preserve">Abiertos parados: sin ninguna actuación más días que el umbral.</t>
  </si>
  <si>
    <t xml:space="preserve">Abiertos sin actuación más de 30 días</t>
  </si>
  <si>
    <t xml:space="preserve">% sobre los abiertos</t>
  </si>
  <si>
    <t xml:space="preserve">Lista accionable: la tabla de abajo dice quién tiene que desbloquear cada uno.</t>
  </si>
  <si>
    <t xml:space="preserve">Doc. §1 y §3 (la fórmula es la suya)</t>
  </si>
  <si>
    <t xml:space="preserve">Cambia mucho con el umbral: con 15 días salen 547.</t>
  </si>
  <si>
    <t xml:space="preserve">Antigüedad máxima</t>
  </si>
  <si>
    <t xml:space="preserve">El expediente abierto más antiguo: alerta individual.</t>
  </si>
  <si>
    <t xml:space="preserve">Máximo de (fecha de corte − registro) entre los abiertos</t>
  </si>
  <si>
    <t xml:space="preserve">Días sin actuación de ese expediente</t>
  </si>
  <si>
    <t xml:space="preserve">Si es un caso aislado, se ve aquí y en la tabla de suspensión.</t>
  </si>
  <si>
    <t xml:space="preserve">Doc. §1: número, etapa actual y días sin actuación</t>
  </si>
  <si>
    <t xml:space="preserve">Es un requerimiento vencido sin desistimiento firmado: puesto a propósito para enseñar la alerta.</t>
  </si>
  <si>
    <t xml:space="preserve">Resultado y pago</t>
  </si>
  <si>
    <t xml:space="preserve">Resueltos</t>
  </si>
  <si>
    <t xml:space="preserve">Producción resolutiva del periodo.</t>
  </si>
  <si>
    <t xml:space="preserve">Resoluciones favorables + denegaciones + desistimientos en el periodo</t>
  </si>
  <si>
    <t xml:space="preserve">% favorables</t>
  </si>
  <si>
    <t xml:space="preserve">Se cuentan en las etapas de resolución, que llegan después de la Intervención.</t>
  </si>
  <si>
    <t xml:space="preserve">Doc. §1 (la etapa «deberá validarse»); E2E A-016; Sofía 08/10</t>
  </si>
  <si>
    <t xml:space="preserve">El Doc. proponía contarlos al pasar a «Validación Tercero»; lo cambiamos y hay que validarlo.</t>
  </si>
  <si>
    <t xml:space="preserve">Tasa de salida</t>
  </si>
  <si>
    <t xml:space="preserve">Si la unidad saca más de lo que entra.</t>
  </si>
  <si>
    <t xml:space="preserve">Finalizados en el periodo ÷ solicitudes registradas en el periodo</t>
  </si>
  <si>
    <t xml:space="preserve">Cambio del stock (abiertos fin − inicio)</t>
  </si>
  <si>
    <t xml:space="preserve">Por encima del 100% la bolsa baja; por debajo, sube.</t>
  </si>
  <si>
    <t xml:space="preserve">Doc. §1 (pide la variación del stock «conjuntamente»); Enrique 06/10</t>
  </si>
  <si>
    <t xml:space="preserve">Un favorable «finaliza» en su primer pago, no en la resolución.</t>
  </si>
  <si>
    <t xml:space="preserve">Resueltos en plazo</t>
  </si>
  <si>
    <t xml:space="preserve">Cumplimiento del plazo desde el registro.</t>
  </si>
  <si>
    <t xml:space="preserve">Primeros envíos a la Intervención dentro del plazo ÷ primeros envíos</t>
  </si>
  <si>
    <t xml:space="preserve">Abiertos que ya pasan del plazo</t>
  </si>
  <si>
    <t xml:space="preserve">El dato de debajo avisa de lo que va a incumplir.</t>
  </si>
  <si>
    <t xml:space="preserve">Doc. §1 (90 días hasta la propuesta de pago); Enrique 06/10: «el resultas en plazo es completo»</t>
  </si>
  <si>
    <t xml:space="preserve">Medido hasta la resolución bajaría a ~84%. Qué cuenta como «propuesta de pago» está por validar.</t>
  </si>
  <si>
    <t xml:space="preserve">Tiempo medio E2E</t>
  </si>
  <si>
    <t xml:space="preserve">Duración de principio a fin.</t>
  </si>
  <si>
    <t xml:space="preserve">Media de (resolución − registro) de los resueltos del periodo</t>
  </si>
  <si>
    <t xml:space="preserve">Mediana</t>
  </si>
  <si>
    <t xml:space="preserve">Media mayor que la mediana = unos pocos casos largos tiran del promedio. P90 y tramitación en «Datos».</t>
  </si>
  <si>
    <t xml:space="preserve">Doc. §1 (media, mediana y P90); Enrique 06/10 (tramitación desde el alta)</t>
  </si>
  <si>
    <t xml:space="preserve">Termina en la resolución; el gráfico de fases termina en el primer pago (97 días).</t>
  </si>
  <si>
    <t xml:space="preserve">Tasa de retrabajo</t>
  </si>
  <si>
    <t xml:space="preserve">Expedientes que tuvieron que repetir algo no previsto.</t>
  </si>
  <si>
    <t xml:space="preserve">Con 2.º requerimiento, tercero rechazado o respuesta desfavorable ÷ tramitados</t>
  </si>
  <si>
    <t xml:space="preserve">Primera tramitación correcta</t>
  </si>
  <si>
    <t xml:space="preserve">Debajo, en el mockup, el % por motivo; suman más que el total porque un expediente puede tener dos.</t>
  </si>
  <si>
    <t xml:space="preserve">Enrique 06/10 (KPI transversal); Doc. §6</t>
  </si>
  <si>
    <t xml:space="preserve">El primer requerimiento no cuenta: es el camino previsto y se mide en la tasa de requerimientos.</t>
  </si>
  <si>
    <t xml:space="preserve">Beneficiarias activas</t>
  </si>
  <si>
    <t xml:space="preserve">Personas que están cobrando la ayuda.</t>
  </si>
  <si>
    <t xml:space="preserve">Con mensualidad en la última nómina pagada (septiembre)</t>
  </si>
  <si>
    <t xml:space="preserve">Cobraron al menos una vez en el periodo</t>
  </si>
  <si>
    <t xml:space="preserve">La diferencia son las que salieron en el año (extinciones y bajas).</t>
  </si>
  <si>
    <t xml:space="preserve">Doc. §1 (a, b y d); Enrique 06/10: «las que ya están en mantenimiento»</t>
  </si>
  <si>
    <t xml:space="preserve">Nómina + Nexus</t>
  </si>
  <si>
    <t xml:space="preserve">Altas en nómina</t>
  </si>
  <si>
    <t xml:space="preserve">Nuevas beneficiarias incorporadas en las nóminas del periodo.</t>
  </si>
  <si>
    <t xml:space="preserve">Altas en mantenimiento + pagos únicos</t>
  </si>
  <si>
    <t xml:space="preserve">Meses de atraso de media al entrar</t>
  </si>
  <si>
    <t xml:space="preserve">Cuantos más meses de atraso, más se ha tardado en tramitar y más dinero de golpe.</t>
  </si>
  <si>
    <t xml:space="preserve">Doc. §1 («incluir pagos únicos»); Pablo 05/10 (meses de atraso)</t>
  </si>
  <si>
    <t xml:space="preserve">Nómina</t>
  </si>
  <si>
    <t xml:space="preserve">Son algo más que las resoluciones favorables por el desfase de un mes entre resolver y cobrar.</t>
  </si>
  <si>
    <t xml:space="preserve">Ejecución presupuestaria</t>
  </si>
  <si>
    <t xml:space="preserve">Cuánto del crédito del año ya se ha pagado.</t>
  </si>
  <si>
    <t xml:space="preserve">Ejecutado (OK) ÷ autorizado (A) de 2026, todas las líneas</t>
  </si>
  <si>
    <t xml:space="preserve">Autorizado de 2026</t>
  </si>
  <si>
    <t xml:space="preserve">Con 9 nóminas de 12 pagadas, lo esperable es ~75%.</t>
  </si>
  <si>
    <t xml:space="preserve">Doc. §1; Pablo 05/10 (A, D y OK); Enrique 06/10 («dato agregado»)</t>
  </si>
  <si>
    <t xml:space="preserve">Nexus</t>
  </si>
  <si>
    <t xml:space="preserve">Solo cambia con las fechas: el crédito va por línea, no por tipo ni canal.</t>
  </si>
  <si>
    <t xml:space="preserve">Comprobación</t>
  </si>
  <si>
    <t xml:space="preserve">Valor A</t>
  </si>
  <si>
    <t xml:space="preserve">Valor B</t>
  </si>
  <si>
    <t xml:space="preserve">Diferencia</t>
  </si>
  <si>
    <t xml:space="preserve">¿Cuadra?</t>
  </si>
  <si>
    <t xml:space="preserve">Por qué tiene que cuadrar</t>
  </si>
  <si>
    <t xml:space="preserve">Abiertos = pendientes de alta + en tramitación + favorables por pagar</t>
  </si>
  <si>
    <t xml:space="preserve">Cada expediente abierto está en una sola de las tres situaciones de la cabecera.</t>
  </si>
  <si>
    <t xml:space="preserve">Cambio del stock = entradas − salidas</t>
  </si>
  <si>
    <t xml:space="preserve">Lo que crece la bolsa es lo que entra menos lo que termina (tasa de salida por debajo de 100%).</t>
  </si>
  <si>
    <t xml:space="preserve">Propuestas favorables ≤ favorables por pagar</t>
  </si>
  <si>
    <t xml:space="preserve">Las propuestas son una parte de los favorables por pagar; el resto ya está resuelto y espera la nómina.</t>
  </si>
  <si>
    <t xml:space="preserve">Causas de favorables por pagar suman el total</t>
  </si>
  <si>
    <t xml:space="preserve">Cada favorable pendiente tiene una sola causa.</t>
  </si>
  <si>
    <t xml:space="preserve">Retrabajo: suma de motivos ≥ total</t>
  </si>
  <si>
    <t xml:space="preserve">Un expediente puede tener dos motivos, así que la suma por motivo supera el total.</t>
  </si>
  <si>
    <t xml:space="preserve">Tramitación (desde el alta) ≤ E2E (desde el registro)</t>
  </si>
  <si>
    <t xml:space="preserve">El E2E empieza en el registro y la tramitación en el alta: la diferencia (~12 días) es la espera en la bandeja.</t>
  </si>
  <si>
    <t xml:space="preserve">Atrasos por alta ≈ meses de atraso × 500 €</t>
  </si>
  <si>
    <t xml:space="preserve">Cada mes de atraso son 500 € por hijo; la pequeña diferencia son los partos múltiples.</t>
  </si>
  <si>
    <t xml:space="preserve">Ejecución ≈ nóminas pagadas ÷ 12</t>
  </si>
  <si>
    <t xml:space="preserve">A mitad de octubre se han pagado 9 de 12 nóminas; la ejecución ronda el 75%.</t>
  </si>
  <si>
    <t xml:space="preserve">Dispuesto = ejecutado + octubre reconocida + resto del año</t>
  </si>
  <si>
    <t xml:space="preserve">Es la caja de «ejecución cierta y prevista»: el dispuesto se reparte en pagado, reconocido y resto.</t>
  </si>
  <si>
    <t xml:space="preserve">Beneficiarias que cobraron alguna vez ≥ activas</t>
  </si>
  <si>
    <t xml:space="preserve">Las del periodo incluyen a las que ya salieron (extinciones y bajas).</t>
  </si>
  <si>
    <t xml:space="preserve">Beneficiarias mes a mes (pestaña Nómina)</t>
  </si>
  <si>
    <t xml:space="preserve">Cada mes: beneficiarias = anteriores + altas − extinciones − bajas.</t>
  </si>
  <si>
    <t xml:space="preserve">Las filas con ≤ o ≥ no son igualdades: ¿Cuadra? comprueba que el orden sea el esperado. En los «≈» se admite una pequeña diferencia (partos múltiples, redondeos).</t>
  </si>
  <si>
    <t xml:space="preserve">Tema</t>
  </si>
  <si>
    <t xml:space="preserve">Qué pasa</t>
  </si>
  <si>
    <t xml:space="preserve">Cómo explicarlo</t>
  </si>
  <si>
    <t xml:space="preserve">Favorables por pagar es una foto del día</t>
  </si>
  <si>
    <t xml:space="preserve">El 13 de octubre sale «51% por demora administrativa».</t>
  </si>
  <si>
    <t xml:space="preserve">El lote de noviembre se envió a la Intervención el día 12. Visto el día 5, la mayoría estaría «esperando el fichero». Es el calendario, no un atasco.</t>
  </si>
  <si>
    <t xml:space="preserve">El 92% en plazo</t>
  </si>
  <si>
    <t xml:space="preserve">Se mide hasta el primer envío a la Intervención.</t>
  </si>
  <si>
    <t xml:space="preserve">Hasta la resolución bajaría a un ~84% (el 15,9% de las resoluciones pasa de 90 días). Que ellas decidan qué es la «propuesta de pago».</t>
  </si>
  <si>
    <t xml:space="preserve">Más altas que favorables</t>
  </si>
  <si>
    <t xml:space="preserve">6.819 altas en nómina frente a 6.708 resoluciones favorables.</t>
  </si>
  <si>
    <t xml:space="preserve">Se cobra el mes siguiente a resolver: la nómina de noviembre paga resoluciones de octubre de 2025, y las de finales de septiembre de 2026 cobran en octubre, fuera del periodo.</t>
  </si>
  <si>
    <t xml:space="preserve">Duración del derecho</t>
  </si>
  <si>
    <t xml:space="preserve">De media se cobran 23 meses (atrasos incluidos); Pablo habló de «29 o 30 meses».</t>
  </si>
  <si>
    <t xml:space="preserve">El máximo sí es 29 (gestación solicitada en la semana 21). La media baja porque 2 de cada 3 son de nacimiento, presentadas tras el parto. Preguntar a Pablo si esas cobran desde el embarazo.</t>
  </si>
  <si>
    <t xml:space="preserve">Crédito muy ajustado</t>
  </si>
  <si>
    <t xml:space="preserve">El cierre previsto sale al 97,8% del autorizado.</t>
  </si>
  <si>
    <t xml:space="preserve">El autorizado de la maqueta se dimensionó con poco margen. El dato real lo dará Nexus.</t>
  </si>
  <si>
    <t xml:space="preserve">Antigüedad máxima y suspensión</t>
  </si>
  <si>
    <t xml:space="preserve">362 días y requerimientos vencidos de hasta 11 meses.</t>
  </si>
  <si>
    <t xml:space="preserve">Puesto a propósito (un 3% de desistimientos sin firmar) para enseñar para qué sirve la alerta y la tabla.</t>
  </si>
  <si>
    <t xml:space="preserve">9.091, casi tantos como solicitudes.</t>
  </si>
  <si>
    <t xml:space="preserve">Sobre todo aportaciones (certificados de nacimiento de las gestantes). Es ilustrativo: no tenemos el dato real.</t>
  </si>
  <si>
    <t xml:space="preserve">Dato</t>
  </si>
  <si>
    <t xml:space="preserve">Qué es</t>
  </si>
  <si>
    <t xml:space="preserve">De dónde sale</t>
  </si>
  <si>
    <t xml:space="preserve">Solicitudes iniciales con asiento en eReg en el periodo</t>
  </si>
  <si>
    <t xml:space="preserve">Solicitudes del periodo anterior</t>
  </si>
  <si>
    <t xml:space="preserve">Mismas, en el periodo anterior de igual duración</t>
  </si>
  <si>
    <t xml:space="preserve">Aportaciones</t>
  </si>
  <si>
    <t xml:space="preserve">Registros de documentación aportada (incluye certificados de nacimiento)</t>
  </si>
  <si>
    <t xml:space="preserve">Comunicaciones</t>
  </si>
  <si>
    <t xml:space="preserve">Otros registros ligados a un expediente</t>
  </si>
  <si>
    <t xml:space="preserve">Solicitudes genéricas sin formulario</t>
  </si>
  <si>
    <t xml:space="preserve">No se pueden clasificar: el «sesgo» de Enrique</t>
  </si>
  <si>
    <t xml:space="preserve">Duplicados técnicos</t>
  </si>
  <si>
    <t xml:space="preserve">Registros repetidos por error técnico</t>
  </si>
  <si>
    <t xml:space="preserve">Registros anulados</t>
  </si>
  <si>
    <t xml:space="preserve">Asientos anulados</t>
  </si>
  <si>
    <t xml:space="preserve">Pendientes de alta (hoy)</t>
  </si>
  <si>
    <t xml:space="preserve">Registradas que siguen en la bandeja sin expediente</t>
  </si>
  <si>
    <t xml:space="preserve">Días de la pendiente de alta más antigua</t>
  </si>
  <si>
    <t xml:space="preserve">Desde su registro hasta la fecha de corte</t>
  </si>
  <si>
    <t xml:space="preserve">En tramitación (hoy)</t>
  </si>
  <si>
    <t xml:space="preserve">En «Gestión Expediente» o «Requerimiento»</t>
  </si>
  <si>
    <t xml:space="preserve">Etapa «Requerimiento»</t>
  </si>
  <si>
    <t xml:space="preserve">Propuestas favorables sin resolver (hoy)</t>
  </si>
  <si>
    <t xml:space="preserve">Desde «Validación Tercero» hasta la respuesta favorable sin resolución</t>
  </si>
  <si>
    <t xml:space="preserve">Pagos propuestos · atrasos</t>
  </si>
  <si>
    <t xml:space="preserve">Mensualidades desde el mes de la solicitud hasta la nómina propuesta</t>
  </si>
  <si>
    <t xml:space="preserve">Pagos propuestos · mensualidad de la nómina</t>
  </si>
  <si>
    <t xml:space="preserve">500 € por hijo en la nómina propuesta</t>
  </si>
  <si>
    <t xml:space="preserve">Pagos propuestos · resto del año</t>
  </si>
  <si>
    <t xml:space="preserve">Mensualidades hasta diciembre</t>
  </si>
  <si>
    <t xml:space="preserve">Propuestas para la nómina de noviembre</t>
  </si>
  <si>
    <t xml:space="preserve">Las del lote que está en la Intervención</t>
  </si>
  <si>
    <t xml:space="preserve">Favorables por pagar (hoy)</t>
  </si>
  <si>
    <t xml:space="preserve">· por preparación de nómina</t>
  </si>
  <si>
    <t xml:space="preserve">Esperando el fichero mensual o la nómina</t>
  </si>
  <si>
    <t xml:space="preserve">· por gestión del tercero</t>
  </si>
  <si>
    <t xml:space="preserve">En gestión económica o tercero sin cargar</t>
  </si>
  <si>
    <t xml:space="preserve">· por demora administrativa</t>
  </si>
  <si>
    <t xml:space="preserve">Envío, fiscalización o resolución</t>
  </si>
  <si>
    <t xml:space="preserve">· por falta de crédito</t>
  </si>
  <si>
    <t xml:space="preserve">Sin crédito disponible</t>
  </si>
  <si>
    <t xml:space="preserve">Abiertos al final del periodo</t>
  </si>
  <si>
    <t xml:space="preserve">Todo lo que no ha terminado a la fecha de corte</t>
  </si>
  <si>
    <t xml:space="preserve">Abiertos al inicio del periodo</t>
  </si>
  <si>
    <t xml:space="preserve">Lo mismo, el día antes de empezar el periodo</t>
  </si>
  <si>
    <t xml:space="preserve">Umbral de suspensión</t>
  </si>
  <si>
    <t xml:space="preserve">Parámetro de la barra de filtros</t>
  </si>
  <si>
    <t xml:space="preserve">Parámetro</t>
  </si>
  <si>
    <t xml:space="preserve">AEFN/2025/007532, en «Requerimiento»</t>
  </si>
  <si>
    <t xml:space="preserve">Días sin actuación del más antiguo</t>
  </si>
  <si>
    <t xml:space="preserve">Desde su última actuación</t>
  </si>
  <si>
    <t xml:space="preserve">Resoluciones favorables</t>
  </si>
  <si>
    <t xml:space="preserve">«Resolución Favorable Concesión» en el periodo</t>
  </si>
  <si>
    <t xml:space="preserve">Denegaciones</t>
  </si>
  <si>
    <t xml:space="preserve">«Resolución Denegación» en el periodo</t>
  </si>
  <si>
    <t xml:space="preserve">Desistimientos</t>
  </si>
  <si>
    <t xml:space="preserve">«Resolución Desestimiento» en el periodo</t>
  </si>
  <si>
    <t xml:space="preserve">Finalizados en el periodo</t>
  </si>
  <si>
    <t xml:space="preserve">Primer pago, denegación, desistimiento o duplicada</t>
  </si>
  <si>
    <t xml:space="preserve">eReg + Atlantix + Nexus</t>
  </si>
  <si>
    <t xml:space="preserve">Primeros envíos a la Intervención</t>
  </si>
  <si>
    <t xml:space="preserve">Expedientes enviados por primera vez en el periodo</t>
  </si>
  <si>
    <t xml:space="preserve">Atlantix (D029)</t>
  </si>
  <si>
    <t xml:space="preserve">· de ellos, dentro del plazo</t>
  </si>
  <si>
    <t xml:space="preserve">Envío − registro ≤ plazo</t>
  </si>
  <si>
    <t xml:space="preserve">Plazo</t>
  </si>
  <si>
    <t xml:space="preserve">Parámetro: 90 días, a revisar con las normas reguladoras</t>
  </si>
  <si>
    <t xml:space="preserve">Sin propuesta de pago enviada todavía</t>
  </si>
  <si>
    <t xml:space="preserve">E2E · media</t>
  </si>
  <si>
    <t xml:space="preserve">Días de registro a resolución de los resueltos del periodo</t>
  </si>
  <si>
    <t xml:space="preserve">E2E · mediana</t>
  </si>
  <si>
    <t xml:space="preserve">La mitad tarda menos que esto</t>
  </si>
  <si>
    <t xml:space="preserve">E2E · percentil 90</t>
  </si>
  <si>
    <t xml:space="preserve">El 90% tarda menos que esto</t>
  </si>
  <si>
    <t xml:space="preserve">Tramitación · media</t>
  </si>
  <si>
    <t xml:space="preserve">Días del alta en Atlantix a la resolución</t>
  </si>
  <si>
    <t xml:space="preserve">Tramitados terminados en el periodo</t>
  </si>
  <si>
    <t xml:space="preserve">Terminados que llegaron a darse de alta</t>
  </si>
  <si>
    <t xml:space="preserve">Con retrabajo</t>
  </si>
  <si>
    <t xml:space="preserve">Con 2.º requerimiento, tercero rechazado o respuesta desfavorable</t>
  </si>
  <si>
    <t xml:space="preserve">· con 2.º requerimiento</t>
  </si>
  <si>
    <t xml:space="preserve">Más de un requerimiento</t>
  </si>
  <si>
    <t xml:space="preserve">· con tercero rechazado</t>
  </si>
  <si>
    <t xml:space="preserve">Nexus rechazó el tercero y se deshizo la propuesta</t>
  </si>
  <si>
    <t xml:space="preserve">· con respuesta desfavorable</t>
  </si>
  <si>
    <t xml:space="preserve">Desfavorable, Actuación Interesada o Dev. a instancia Promo</t>
  </si>
  <si>
    <t xml:space="preserve">Beneficiarias en la última nómina</t>
  </si>
  <si>
    <t xml:space="preserve">Nómina de septiembre de 2026: mantenimiento + altas</t>
  </si>
  <si>
    <t xml:space="preserve">Nómina (Atlantix) + Nexus</t>
  </si>
  <si>
    <t xml:space="preserve">· por dos o más hijos</t>
  </si>
  <si>
    <t xml:space="preserve">Cobran 1.000 € o más</t>
  </si>
  <si>
    <t xml:space="preserve">Beneficiarias que cobraron alguna vez en el periodo</t>
  </si>
  <si>
    <t xml:space="preserve">Contadas una sola vez</t>
  </si>
  <si>
    <t xml:space="preserve">Altas en mantenimiento</t>
  </si>
  <si>
    <t xml:space="preserve">Nuevas beneficiarias de las nóminas del periodo</t>
  </si>
  <si>
    <t xml:space="preserve">Pagos únicos</t>
  </si>
  <si>
    <t xml:space="preserve">Se pagan de una vez; sobre todo pérdidas gestacionales</t>
  </si>
  <si>
    <t xml:space="preserve">Atrasos de las altas</t>
  </si>
  <si>
    <t xml:space="preserve">Mensualidades devengadas antes de entrar en nómina</t>
  </si>
  <si>
    <t xml:space="preserve">Meses de atraso (suma)</t>
  </si>
  <si>
    <t xml:space="preserve">Suma de los meses de atraso de todas las altas</t>
  </si>
  <si>
    <t xml:space="preserve">Importe de los pagos únicos</t>
  </si>
  <si>
    <t xml:space="preserve">Autorizado 2026 (A)</t>
  </si>
  <si>
    <t xml:space="preserve">Documento A de la anualidad 2026, todas las líneas</t>
  </si>
  <si>
    <t xml:space="preserve">Dispuesto 2026 (D)</t>
  </si>
  <si>
    <t xml:space="preserve">D sin terceros más los D_COM</t>
  </si>
  <si>
    <t xml:space="preserve">Ejecutado 2026 (OK)</t>
  </si>
  <si>
    <t xml:space="preserve">Nóminas contabilizadas hasta septiembre</t>
  </si>
  <si>
    <t xml:space="preserve">Nómina de octubre reconocida sin pagar</t>
  </si>
  <si>
    <t xml:space="preserve">Dispuesta, se paga a final de mes</t>
  </si>
  <si>
    <t xml:space="preserve">Propuesto en Atlantix sin D_COM</t>
  </si>
  <si>
    <t xml:space="preserve">700 expedientes con pagos propuestos para 2026</t>
  </si>
  <si>
    <t xml:space="preserve">Nóminas de 2026 pagadas</t>
  </si>
  <si>
    <t xml:space="preserve">De enero a septiembre</t>
  </si>
  <si>
    <t xml:space="preserve">Mantenimiento (€)</t>
  </si>
  <si>
    <t xml:space="preserve">Nuevas altas (€)</t>
  </si>
  <si>
    <t xml:space="preserve">Atrasos (€)</t>
  </si>
  <si>
    <t xml:space="preserve">Pagos únicos (€)</t>
  </si>
  <si>
    <t xml:space="preserve">Regularizaciones (€)</t>
  </si>
  <si>
    <t xml:space="preserve">Total (€)</t>
  </si>
  <si>
    <t xml:space="preserve">Beneficiarias</t>
  </si>
  <si>
    <t xml:space="preserve">Altas</t>
  </si>
  <si>
    <t xml:space="preserve">Extinciones</t>
  </si>
  <si>
    <t xml:space="preserve">Bajas</t>
  </si>
  <si>
    <t xml:space="preserve">Meses de atraso por alta</t>
  </si>
  <si>
    <t xml:space="preserve">Cambio de beneficiarias</t>
  </si>
  <si>
    <t xml:space="preserve">Altas − extinciones − bajas</t>
  </si>
  <si>
    <t xml:space="preserve">nov 25</t>
  </si>
  <si>
    <t xml:space="preserve">dic 25</t>
  </si>
  <si>
    <t xml:space="preserve">ene 26</t>
  </si>
  <si>
    <t xml:space="preserve">feb 26</t>
  </si>
  <si>
    <t xml:space="preserve">mar 26</t>
  </si>
  <si>
    <t xml:space="preserve">abr 26</t>
  </si>
  <si>
    <t xml:space="preserve">may 26</t>
  </si>
  <si>
    <t xml:space="preserve">jun 26</t>
  </si>
  <si>
    <t xml:space="preserve">jul 26</t>
  </si>
  <si>
    <t xml:space="preserve">ago 26</t>
  </si>
  <si>
    <t xml:space="preserve">sep 26</t>
  </si>
  <si>
    <t xml:space="preserve">Total</t>
  </si>
  <si>
    <t xml:space="preserve">Lectura: cada mes, beneficiarias = las del mes anterior + altas − extinciones − bajas. Los pagos únicos no entran en mantenimiento, por eso no suman. Una extinción es el fin natural del derecho; una baja quita mensualidades ya dispuestas (Pablo 05/10).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</si>
</sst>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%"/>
    <numFmt numFmtId="167" formatCode="0.0"/>
    <numFmt numFmtId="168" formatCode="0&quot; d&quot;"/>
    <numFmt numFmtId="169" formatCode="#,##0&quot; €&quot;;\-#,##0&quot; €&quot;;\-"/>
    <numFmt numFmtId="170" formatCode="0.0&quot; d&quot;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A1F4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A1F44"/>
        <bgColor rgb="FF003300"/>
      </patternFill>
    </fill>
    <fill>
      <patternFill patternType="solid">
        <fgColor rgb="FFEEF3F8"/>
        <bgColor rgb="FFE6F2EF"/>
      </patternFill>
    </fill>
    <fill>
      <patternFill patternType="solid">
        <fgColor rgb="FFE6F2EF"/>
        <bgColor rgb="FFEEF3F8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3D3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3F8"/>
      <rgbColor rgb="FFE6F2EF"/>
      <rgbColor rgb="FF660066"/>
      <rgbColor rgb="FFFF8080"/>
      <rgbColor rgb="FF0066CC"/>
      <rgbColor rgb="FFD3D3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A1F4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2" customFormat="false" ht="17.35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</row>
    <row r="5" customFormat="false" ht="15" hidden="false" customHeight="false" outlineLevel="0" collapsed="false">
      <c r="B5" s="2"/>
    </row>
    <row r="6" customFormat="false" ht="15" hidden="false" customHeight="false" outlineLevel="0" collapsed="false">
      <c r="B6" s="3" t="s">
        <v>2</v>
      </c>
    </row>
    <row r="7" customFormat="false" ht="15" hidden="false" customHeight="false" outlineLevel="0" collapsed="false">
      <c r="B7" s="2" t="s">
        <v>3</v>
      </c>
    </row>
    <row r="8" customFormat="false" ht="15" hidden="false" customHeight="false" outlineLevel="0" collapsed="false">
      <c r="B8" s="2" t="s">
        <v>4</v>
      </c>
    </row>
    <row r="9" customFormat="false" ht="15" hidden="false" customHeight="false" outlineLevel="0" collapsed="false">
      <c r="B9" s="2" t="s">
        <v>5</v>
      </c>
    </row>
    <row r="10" customFormat="false" ht="15" hidden="false" customHeight="false" outlineLevel="0" collapsed="false">
      <c r="B10" s="2" t="s">
        <v>6</v>
      </c>
    </row>
    <row r="11" customFormat="false" ht="15" hidden="false" customHeight="false" outlineLevel="0" collapsed="false">
      <c r="B11" s="2" t="s">
        <v>7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2" t="s">
        <v>8</v>
      </c>
    </row>
    <row r="14" customFormat="false" ht="23.85" hidden="false" customHeight="false" outlineLevel="0" collapsed="false">
      <c r="B14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40"/>
    <col collapsed="false" customWidth="true" hidden="false" outlineLevel="0" max="5" min="5" style="0" width="34"/>
    <col collapsed="false" customWidth="true" hidden="false" outlineLevel="0" max="6" min="6" style="0" width="12"/>
    <col collapsed="false" customWidth="true" hidden="false" outlineLevel="0" max="7" min="7" style="0" width="30"/>
    <col collapsed="false" customWidth="true" hidden="false" outlineLevel="0" max="8" min="8" style="0" width="14"/>
    <col collapsed="false" customWidth="true" hidden="false" outlineLevel="0" max="9" min="9" style="0" width="40"/>
    <col collapsed="false" customWidth="true" hidden="false" outlineLevel="0" max="10" min="10" style="0" width="38"/>
    <col collapsed="false" customWidth="true" hidden="false" outlineLevel="0" max="11" min="11" style="0" width="18"/>
    <col collapsed="false" customWidth="true" hidden="false" outlineLevel="0" max="12" min="12" style="0" width="44"/>
  </cols>
  <sheetData>
    <row r="1" customFormat="false" ht="30" hidden="false" customHeight="true" outlineLevel="0" collapsed="false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  <c r="I1" s="4" t="s">
        <v>18</v>
      </c>
      <c r="J1" s="4" t="s">
        <v>19</v>
      </c>
      <c r="K1" s="4" t="s">
        <v>20</v>
      </c>
      <c r="L1" s="4" t="s">
        <v>21</v>
      </c>
    </row>
    <row r="2" customFormat="false" ht="23.85" hidden="false" customHeight="false" outlineLevel="0" collapsed="false">
      <c r="A2" s="5" t="n">
        <v>1</v>
      </c>
      <c r="B2" s="6" t="s">
        <v>22</v>
      </c>
      <c r="C2" s="7" t="s">
        <v>23</v>
      </c>
      <c r="D2" s="6" t="s">
        <v>24</v>
      </c>
      <c r="E2" s="6" t="s">
        <v>25</v>
      </c>
      <c r="F2" s="8" t="n">
        <f aca="false">Datos!$B$2</f>
        <v>9414</v>
      </c>
      <c r="G2" s="6" t="s">
        <v>26</v>
      </c>
      <c r="H2" s="9" t="n">
        <f aca="false">(Datos!$B$2-Datos!$B$3)/Datos!$B$3</f>
        <v>0.0376984126984127</v>
      </c>
      <c r="I2" s="6" t="s">
        <v>27</v>
      </c>
      <c r="J2" s="6" t="s">
        <v>28</v>
      </c>
      <c r="K2" s="6" t="s">
        <v>29</v>
      </c>
      <c r="L2" s="6" t="s">
        <v>30</v>
      </c>
    </row>
    <row r="3" customFormat="false" ht="23.85" hidden="false" customHeight="false" outlineLevel="0" collapsed="false">
      <c r="A3" s="5" t="n">
        <v>2</v>
      </c>
      <c r="B3" s="6" t="s">
        <v>22</v>
      </c>
      <c r="C3" s="7" t="s">
        <v>31</v>
      </c>
      <c r="D3" s="6" t="s">
        <v>32</v>
      </c>
      <c r="E3" s="6" t="s">
        <v>33</v>
      </c>
      <c r="F3" s="8" t="n">
        <f aca="false">Datos!$B$4+Datos!$B$5+Datos!$B$6+Datos!$B$7+Datos!$B$8</f>
        <v>9091</v>
      </c>
      <c r="G3" s="6" t="s">
        <v>34</v>
      </c>
      <c r="H3" s="10" t="n">
        <f aca="false">Datos!$B$4/Datos!$B$2*100</f>
        <v>65.8593584023794</v>
      </c>
      <c r="I3" s="6" t="s">
        <v>35</v>
      </c>
      <c r="J3" s="6" t="s">
        <v>36</v>
      </c>
      <c r="K3" s="6" t="s">
        <v>29</v>
      </c>
      <c r="L3" s="6" t="s">
        <v>37</v>
      </c>
    </row>
    <row r="4" customFormat="false" ht="23.85" hidden="false" customHeight="false" outlineLevel="0" collapsed="false">
      <c r="A4" s="5" t="n">
        <v>3</v>
      </c>
      <c r="B4" s="6" t="s">
        <v>22</v>
      </c>
      <c r="C4" s="7" t="s">
        <v>38</v>
      </c>
      <c r="D4" s="6" t="s">
        <v>39</v>
      </c>
      <c r="E4" s="6" t="s">
        <v>40</v>
      </c>
      <c r="F4" s="8" t="n">
        <f aca="false">Datos!$B$9</f>
        <v>626</v>
      </c>
      <c r="G4" s="6" t="s">
        <v>41</v>
      </c>
      <c r="H4" s="11" t="n">
        <f aca="false">Datos!$B$10</f>
        <v>53</v>
      </c>
      <c r="I4" s="6" t="s">
        <v>42</v>
      </c>
      <c r="J4" s="6" t="s">
        <v>43</v>
      </c>
      <c r="K4" s="6" t="s">
        <v>44</v>
      </c>
      <c r="L4" s="6" t="s">
        <v>45</v>
      </c>
    </row>
    <row r="5" customFormat="false" ht="23.85" hidden="false" customHeight="false" outlineLevel="0" collapsed="false">
      <c r="A5" s="5" t="n">
        <v>4</v>
      </c>
      <c r="B5" s="6" t="s">
        <v>22</v>
      </c>
      <c r="C5" s="7" t="s">
        <v>46</v>
      </c>
      <c r="D5" s="6" t="s">
        <v>47</v>
      </c>
      <c r="E5" s="6" t="s">
        <v>48</v>
      </c>
      <c r="F5" s="8" t="n">
        <f aca="false">Datos!$B$11</f>
        <v>662</v>
      </c>
      <c r="G5" s="6" t="s">
        <v>49</v>
      </c>
      <c r="H5" s="12" t="n">
        <f aca="false">Datos!$B$12</f>
        <v>238</v>
      </c>
      <c r="I5" s="6" t="s">
        <v>50</v>
      </c>
      <c r="J5" s="6" t="s">
        <v>51</v>
      </c>
      <c r="K5" s="6" t="s">
        <v>52</v>
      </c>
      <c r="L5" s="6"/>
    </row>
    <row r="6" customFormat="false" ht="23.85" hidden="false" customHeight="false" outlineLevel="0" collapsed="false">
      <c r="A6" s="5" t="n">
        <v>5</v>
      </c>
      <c r="B6" s="6" t="s">
        <v>22</v>
      </c>
      <c r="C6" s="7" t="s">
        <v>53</v>
      </c>
      <c r="D6" s="6" t="s">
        <v>54</v>
      </c>
      <c r="E6" s="6" t="s">
        <v>55</v>
      </c>
      <c r="F6" s="8" t="n">
        <f aca="false">Datos!$B$13</f>
        <v>699</v>
      </c>
      <c r="G6" s="6" t="s">
        <v>56</v>
      </c>
      <c r="H6" s="13" t="n">
        <f aca="false">Datos!$B$14+Datos!$B$15+Datos!$B$16</f>
        <v>1831500</v>
      </c>
      <c r="I6" s="6" t="s">
        <v>57</v>
      </c>
      <c r="J6" s="6" t="s">
        <v>58</v>
      </c>
      <c r="K6" s="6" t="s">
        <v>59</v>
      </c>
      <c r="L6" s="6" t="s">
        <v>60</v>
      </c>
    </row>
    <row r="7" customFormat="false" ht="23.85" hidden="false" customHeight="false" outlineLevel="0" collapsed="false">
      <c r="A7" s="5" t="n">
        <v>6</v>
      </c>
      <c r="B7" s="6" t="s">
        <v>22</v>
      </c>
      <c r="C7" s="7" t="s">
        <v>61</v>
      </c>
      <c r="D7" s="6" t="s">
        <v>62</v>
      </c>
      <c r="E7" s="6" t="s">
        <v>63</v>
      </c>
      <c r="F7" s="8" t="n">
        <f aca="false">Datos!$B$18</f>
        <v>1042</v>
      </c>
      <c r="G7" s="6" t="s">
        <v>64</v>
      </c>
      <c r="H7" s="9" t="n">
        <f aca="false">Datos!$B$21/Datos!$B$18</f>
        <v>0.509596928982726</v>
      </c>
      <c r="I7" s="6" t="s">
        <v>65</v>
      </c>
      <c r="J7" s="6" t="s">
        <v>66</v>
      </c>
      <c r="K7" s="6" t="s">
        <v>67</v>
      </c>
      <c r="L7" s="6" t="s">
        <v>68</v>
      </c>
    </row>
    <row r="8" customFormat="false" ht="23.85" hidden="false" customHeight="false" outlineLevel="0" collapsed="false">
      <c r="A8" s="5" t="n">
        <v>7</v>
      </c>
      <c r="B8" s="6" t="s">
        <v>22</v>
      </c>
      <c r="C8" s="7" t="s">
        <v>69</v>
      </c>
      <c r="D8" s="6" t="s">
        <v>70</v>
      </c>
      <c r="E8" s="6" t="s">
        <v>71</v>
      </c>
      <c r="F8" s="8" t="n">
        <f aca="false">Datos!$B$25</f>
        <v>53</v>
      </c>
      <c r="G8" s="6" t="s">
        <v>72</v>
      </c>
      <c r="H8" s="9" t="n">
        <f aca="false">Datos!$B$25/Datos!$B$23</f>
        <v>0.0227467811158798</v>
      </c>
      <c r="I8" s="6" t="s">
        <v>73</v>
      </c>
      <c r="J8" s="6" t="s">
        <v>74</v>
      </c>
      <c r="K8" s="6" t="s">
        <v>52</v>
      </c>
      <c r="L8" s="6" t="s">
        <v>75</v>
      </c>
    </row>
    <row r="9" customFormat="false" ht="23.85" hidden="false" customHeight="false" outlineLevel="0" collapsed="false">
      <c r="A9" s="5" t="n">
        <v>8</v>
      </c>
      <c r="B9" s="6" t="s">
        <v>22</v>
      </c>
      <c r="C9" s="7" t="s">
        <v>76</v>
      </c>
      <c r="D9" s="6" t="s">
        <v>77</v>
      </c>
      <c r="E9" s="6" t="s">
        <v>78</v>
      </c>
      <c r="F9" s="14" t="n">
        <f aca="false">Datos!$B$27</f>
        <v>362</v>
      </c>
      <c r="G9" s="6" t="s">
        <v>79</v>
      </c>
      <c r="H9" s="11" t="n">
        <f aca="false">Datos!$B$28</f>
        <v>331</v>
      </c>
      <c r="I9" s="6" t="s">
        <v>80</v>
      </c>
      <c r="J9" s="6" t="s">
        <v>81</v>
      </c>
      <c r="K9" s="6" t="s">
        <v>44</v>
      </c>
      <c r="L9" s="6" t="s">
        <v>82</v>
      </c>
    </row>
    <row r="10" customFormat="false" ht="23.85" hidden="false" customHeight="false" outlineLevel="0" collapsed="false">
      <c r="A10" s="5" t="n">
        <v>9</v>
      </c>
      <c r="B10" s="6" t="s">
        <v>83</v>
      </c>
      <c r="C10" s="7" t="s">
        <v>84</v>
      </c>
      <c r="D10" s="6" t="s">
        <v>85</v>
      </c>
      <c r="E10" s="6" t="s">
        <v>86</v>
      </c>
      <c r="F10" s="8" t="n">
        <f aca="false">Datos!$B$29+Datos!$B$30+Datos!$B$31</f>
        <v>8885</v>
      </c>
      <c r="G10" s="6" t="s">
        <v>87</v>
      </c>
      <c r="H10" s="9" t="n">
        <f aca="false">Datos!$B$29/(Datos!$B$29+Datos!$B$30+Datos!$B$31)</f>
        <v>0.754980303882949</v>
      </c>
      <c r="I10" s="6" t="s">
        <v>88</v>
      </c>
      <c r="J10" s="6" t="s">
        <v>89</v>
      </c>
      <c r="K10" s="6" t="s">
        <v>52</v>
      </c>
      <c r="L10" s="6" t="s">
        <v>90</v>
      </c>
    </row>
    <row r="11" customFormat="false" ht="23.85" hidden="false" customHeight="false" outlineLevel="0" collapsed="false">
      <c r="A11" s="5" t="n">
        <v>10</v>
      </c>
      <c r="B11" s="6" t="s">
        <v>83</v>
      </c>
      <c r="C11" s="7" t="s">
        <v>91</v>
      </c>
      <c r="D11" s="6" t="s">
        <v>92</v>
      </c>
      <c r="E11" s="6" t="s">
        <v>93</v>
      </c>
      <c r="F11" s="15" t="n">
        <f aca="false">Datos!$B$32/Datos!$B$2</f>
        <v>0.987677926492458</v>
      </c>
      <c r="G11" s="6" t="s">
        <v>94</v>
      </c>
      <c r="H11" s="12" t="n">
        <f aca="false">Datos!$B$23-Datos!$B$24</f>
        <v>116</v>
      </c>
      <c r="I11" s="6" t="s">
        <v>95</v>
      </c>
      <c r="J11" s="6" t="s">
        <v>96</v>
      </c>
      <c r="K11" s="6" t="s">
        <v>44</v>
      </c>
      <c r="L11" s="6" t="s">
        <v>97</v>
      </c>
    </row>
    <row r="12" customFormat="false" ht="23.85" hidden="false" customHeight="false" outlineLevel="0" collapsed="false">
      <c r="A12" s="5" t="n">
        <v>11</v>
      </c>
      <c r="B12" s="6" t="s">
        <v>83</v>
      </c>
      <c r="C12" s="7" t="s">
        <v>98</v>
      </c>
      <c r="D12" s="6" t="s">
        <v>99</v>
      </c>
      <c r="E12" s="6" t="s">
        <v>100</v>
      </c>
      <c r="F12" s="15" t="n">
        <f aca="false">Datos!$B$34/Datos!$B$33</f>
        <v>0.920496894409938</v>
      </c>
      <c r="G12" s="6" t="s">
        <v>101</v>
      </c>
      <c r="H12" s="12" t="n">
        <f aca="false">Datos!$B$36</f>
        <v>36</v>
      </c>
      <c r="I12" s="6" t="s">
        <v>102</v>
      </c>
      <c r="J12" s="6" t="s">
        <v>103</v>
      </c>
      <c r="K12" s="6" t="s">
        <v>44</v>
      </c>
      <c r="L12" s="6" t="s">
        <v>104</v>
      </c>
    </row>
    <row r="13" customFormat="false" ht="23.85" hidden="false" customHeight="false" outlineLevel="0" collapsed="false">
      <c r="A13" s="5" t="n">
        <v>12</v>
      </c>
      <c r="B13" s="6" t="s">
        <v>83</v>
      </c>
      <c r="C13" s="7" t="s">
        <v>105</v>
      </c>
      <c r="D13" s="6" t="s">
        <v>106</v>
      </c>
      <c r="E13" s="6" t="s">
        <v>107</v>
      </c>
      <c r="F13" s="16" t="n">
        <f aca="false">Datos!$B$37</f>
        <v>64.9</v>
      </c>
      <c r="G13" s="6" t="s">
        <v>108</v>
      </c>
      <c r="H13" s="17" t="n">
        <f aca="false">Datos!$B$38</f>
        <v>60</v>
      </c>
      <c r="I13" s="6" t="s">
        <v>109</v>
      </c>
      <c r="J13" s="6" t="s">
        <v>110</v>
      </c>
      <c r="K13" s="6" t="s">
        <v>44</v>
      </c>
      <c r="L13" s="6" t="s">
        <v>111</v>
      </c>
    </row>
    <row r="14" customFormat="false" ht="23.85" hidden="false" customHeight="false" outlineLevel="0" collapsed="false">
      <c r="A14" s="5" t="n">
        <v>13</v>
      </c>
      <c r="B14" s="6" t="s">
        <v>83</v>
      </c>
      <c r="C14" s="7" t="s">
        <v>112</v>
      </c>
      <c r="D14" s="6" t="s">
        <v>113</v>
      </c>
      <c r="E14" s="6" t="s">
        <v>114</v>
      </c>
      <c r="F14" s="15" t="n">
        <f aca="false">Datos!$B$42/Datos!$B$41</f>
        <v>0.16396176078257</v>
      </c>
      <c r="G14" s="6" t="s">
        <v>115</v>
      </c>
      <c r="H14" s="9" t="n">
        <f aca="false">1-Datos!$B$42/Datos!$B$41</f>
        <v>0.83603823921743</v>
      </c>
      <c r="I14" s="6" t="s">
        <v>116</v>
      </c>
      <c r="J14" s="6" t="s">
        <v>117</v>
      </c>
      <c r="K14" s="6" t="s">
        <v>52</v>
      </c>
      <c r="L14" s="6" t="s">
        <v>118</v>
      </c>
    </row>
    <row r="15" customFormat="false" ht="23.85" hidden="false" customHeight="false" outlineLevel="0" collapsed="false">
      <c r="A15" s="5" t="n">
        <v>14</v>
      </c>
      <c r="B15" s="6" t="s">
        <v>83</v>
      </c>
      <c r="C15" s="7" t="s">
        <v>119</v>
      </c>
      <c r="D15" s="6" t="s">
        <v>120</v>
      </c>
      <c r="E15" s="6" t="s">
        <v>121</v>
      </c>
      <c r="F15" s="8" t="n">
        <f aca="false">Datos!$B$46</f>
        <v>11606</v>
      </c>
      <c r="G15" s="6" t="s">
        <v>122</v>
      </c>
      <c r="H15" s="12" t="n">
        <f aca="false">Datos!$B$48</f>
        <v>17250</v>
      </c>
      <c r="I15" s="6" t="s">
        <v>123</v>
      </c>
      <c r="J15" s="6" t="s">
        <v>124</v>
      </c>
      <c r="K15" s="6" t="s">
        <v>125</v>
      </c>
      <c r="L15" s="6"/>
    </row>
    <row r="16" customFormat="false" ht="23.85" hidden="false" customHeight="false" outlineLevel="0" collapsed="false">
      <c r="A16" s="5" t="n">
        <v>15</v>
      </c>
      <c r="B16" s="6" t="s">
        <v>83</v>
      </c>
      <c r="C16" s="7" t="s">
        <v>126</v>
      </c>
      <c r="D16" s="6" t="s">
        <v>127</v>
      </c>
      <c r="E16" s="6" t="s">
        <v>128</v>
      </c>
      <c r="F16" s="8" t="n">
        <f aca="false">Datos!$B$49+Datos!$B$50</f>
        <v>6819</v>
      </c>
      <c r="G16" s="6" t="s">
        <v>129</v>
      </c>
      <c r="H16" s="10" t="n">
        <f aca="false">Datos!$B$52/Datos!$B$49</f>
        <v>2.94815256257449</v>
      </c>
      <c r="I16" s="6" t="s">
        <v>130</v>
      </c>
      <c r="J16" s="6" t="s">
        <v>131</v>
      </c>
      <c r="K16" s="6" t="s">
        <v>132</v>
      </c>
      <c r="L16" s="6" t="s">
        <v>133</v>
      </c>
    </row>
    <row r="17" customFormat="false" ht="23.85" hidden="false" customHeight="false" outlineLevel="0" collapsed="false">
      <c r="A17" s="5" t="n">
        <v>16</v>
      </c>
      <c r="B17" s="6" t="s">
        <v>83</v>
      </c>
      <c r="C17" s="7" t="s">
        <v>134</v>
      </c>
      <c r="D17" s="6" t="s">
        <v>135</v>
      </c>
      <c r="E17" s="6" t="s">
        <v>136</v>
      </c>
      <c r="F17" s="15" t="n">
        <f aca="false">Datos!$B$56/Datos!$B$54</f>
        <v>0.746697998046875</v>
      </c>
      <c r="G17" s="6" t="s">
        <v>137</v>
      </c>
      <c r="H17" s="13" t="n">
        <f aca="false">Datos!$B$54</f>
        <v>81920000</v>
      </c>
      <c r="I17" s="6" t="s">
        <v>138</v>
      </c>
      <c r="J17" s="6" t="s">
        <v>139</v>
      </c>
      <c r="K17" s="6" t="s">
        <v>140</v>
      </c>
      <c r="L17" s="6" t="s"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70"/>
  </cols>
  <sheetData>
    <row r="1" customFormat="false" ht="30" hidden="false" customHeight="true" outlineLevel="0" collapsed="false">
      <c r="A1" s="4" t="s">
        <v>142</v>
      </c>
      <c r="B1" s="4" t="s">
        <v>143</v>
      </c>
      <c r="C1" s="4" t="s">
        <v>144</v>
      </c>
      <c r="D1" s="4" t="s">
        <v>145</v>
      </c>
      <c r="E1" s="4" t="s">
        <v>146</v>
      </c>
      <c r="F1" s="4" t="s">
        <v>147</v>
      </c>
    </row>
    <row r="2" customFormat="false" ht="23.85" hidden="false" customHeight="false" outlineLevel="0" collapsed="false">
      <c r="A2" s="7" t="s">
        <v>148</v>
      </c>
      <c r="B2" s="12" t="n">
        <f aca="false">Datos!$B$23</f>
        <v>2330</v>
      </c>
      <c r="C2" s="12" t="n">
        <f aca="false">Datos!$B$9+Datos!$B$11+Datos!$B$18</f>
        <v>2330</v>
      </c>
      <c r="D2" s="12" t="n">
        <f aca="false">B2-C2</f>
        <v>0</v>
      </c>
      <c r="E2" s="18" t="str">
        <f aca="false">IF(ABS(B2-C2)&lt;=0,"Sí","No")</f>
        <v>Sí</v>
      </c>
      <c r="F2" s="6" t="s">
        <v>149</v>
      </c>
    </row>
    <row r="3" customFormat="false" ht="15" hidden="false" customHeight="false" outlineLevel="0" collapsed="false">
      <c r="A3" s="7" t="s">
        <v>150</v>
      </c>
      <c r="B3" s="12" t="n">
        <f aca="false">Datos!$B$23-Datos!$B$24</f>
        <v>116</v>
      </c>
      <c r="C3" s="12" t="n">
        <f aca="false">Datos!$B$2-Datos!$B$32</f>
        <v>116</v>
      </c>
      <c r="D3" s="12" t="n">
        <f aca="false">B3-C3</f>
        <v>0</v>
      </c>
      <c r="E3" s="18" t="str">
        <f aca="false">IF(ABS(B3-C3)&lt;=0,"Sí","No")</f>
        <v>Sí</v>
      </c>
      <c r="F3" s="6" t="s">
        <v>151</v>
      </c>
    </row>
    <row r="4" customFormat="false" ht="15" hidden="false" customHeight="false" outlineLevel="0" collapsed="false">
      <c r="A4" s="7" t="s">
        <v>152</v>
      </c>
      <c r="B4" s="12" t="n">
        <f aca="false">Datos!$B$13</f>
        <v>699</v>
      </c>
      <c r="C4" s="12" t="n">
        <f aca="false">Datos!$B$18</f>
        <v>1042</v>
      </c>
      <c r="D4" s="12" t="n">
        <f aca="false">B4-C4</f>
        <v>-343</v>
      </c>
      <c r="E4" s="18" t="str">
        <f aca="false">IF(B4&lt;=C4,"Sí","No")</f>
        <v>Sí</v>
      </c>
      <c r="F4" s="6" t="s">
        <v>153</v>
      </c>
    </row>
    <row r="5" customFormat="false" ht="15" hidden="false" customHeight="false" outlineLevel="0" collapsed="false">
      <c r="A5" s="7" t="s">
        <v>154</v>
      </c>
      <c r="B5" s="12" t="n">
        <f aca="false">Datos!$B$19+Datos!$B$20+Datos!$B$21+Datos!$B$22</f>
        <v>1042</v>
      </c>
      <c r="C5" s="12" t="n">
        <f aca="false">Datos!$B$18</f>
        <v>1042</v>
      </c>
      <c r="D5" s="12" t="n">
        <f aca="false">B5-C5</f>
        <v>0</v>
      </c>
      <c r="E5" s="18" t="str">
        <f aca="false">IF(ABS(B5-C5)&lt;=0,"Sí","No")</f>
        <v>Sí</v>
      </c>
      <c r="F5" s="6" t="s">
        <v>155</v>
      </c>
    </row>
    <row r="6" customFormat="false" ht="15" hidden="false" customHeight="false" outlineLevel="0" collapsed="false">
      <c r="A6" s="7" t="s">
        <v>156</v>
      </c>
      <c r="B6" s="12" t="n">
        <f aca="false">Datos!$B$43+Datos!$B$44+Datos!$B$45</f>
        <v>1815</v>
      </c>
      <c r="C6" s="12" t="n">
        <f aca="false">Datos!$B$42</f>
        <v>1475</v>
      </c>
      <c r="D6" s="12" t="n">
        <f aca="false">B6-C6</f>
        <v>340</v>
      </c>
      <c r="E6" s="18" t="str">
        <f aca="false">IF(B6&gt;=C6,"Sí","No")</f>
        <v>Sí</v>
      </c>
      <c r="F6" s="6" t="s">
        <v>157</v>
      </c>
    </row>
    <row r="7" customFormat="false" ht="15" hidden="false" customHeight="false" outlineLevel="0" collapsed="false">
      <c r="A7" s="7" t="s">
        <v>158</v>
      </c>
      <c r="B7" s="17" t="n">
        <f aca="false">Datos!$B$40</f>
        <v>53.1</v>
      </c>
      <c r="C7" s="17" t="n">
        <f aca="false">Datos!$B$37</f>
        <v>64.9</v>
      </c>
      <c r="D7" s="17" t="n">
        <f aca="false">B7-C7</f>
        <v>-11.8</v>
      </c>
      <c r="E7" s="18" t="str">
        <f aca="false">IF(B7&lt;=C7,"Sí","No")</f>
        <v>Sí</v>
      </c>
      <c r="F7" s="6" t="s">
        <v>159</v>
      </c>
    </row>
    <row r="8" customFormat="false" ht="15" hidden="false" customHeight="false" outlineLevel="0" collapsed="false">
      <c r="A8" s="7" t="s">
        <v>160</v>
      </c>
      <c r="B8" s="13" t="n">
        <f aca="false">Datos!$B$51/Datos!$B$49</f>
        <v>1514.8241954708</v>
      </c>
      <c r="C8" s="13" t="n">
        <f aca="false">Datos!$B$52/Datos!$B$49*500</f>
        <v>1474.07628128725</v>
      </c>
      <c r="D8" s="13" t="n">
        <f aca="false">B8-C8</f>
        <v>40.7479141835518</v>
      </c>
      <c r="E8" s="18" t="str">
        <f aca="false">IF(ABS(B8-C8)&lt;=50,"Sí","No")</f>
        <v>Sí</v>
      </c>
      <c r="F8" s="6" t="s">
        <v>161</v>
      </c>
    </row>
    <row r="9" customFormat="false" ht="15" hidden="false" customHeight="false" outlineLevel="0" collapsed="false">
      <c r="A9" s="7" t="s">
        <v>162</v>
      </c>
      <c r="B9" s="9" t="n">
        <f aca="false">Datos!$B$56/Datos!$B$54</f>
        <v>0.746697998046875</v>
      </c>
      <c r="C9" s="9" t="n">
        <f aca="false">Datos!$B$59/12</f>
        <v>0.75</v>
      </c>
      <c r="D9" s="9" t="n">
        <f aca="false">B9-C9</f>
        <v>-0.00330200195312502</v>
      </c>
      <c r="E9" s="18" t="str">
        <f aca="false">IF(ABS(B9-C9)&lt;=0.03,"Sí","No")</f>
        <v>Sí</v>
      </c>
      <c r="F9" s="6" t="s">
        <v>163</v>
      </c>
    </row>
    <row r="10" customFormat="false" ht="15" hidden="false" customHeight="false" outlineLevel="0" collapsed="false">
      <c r="A10" s="7" t="s">
        <v>164</v>
      </c>
      <c r="B10" s="13" t="n">
        <f aca="false">Datos!$B$55</f>
        <v>78300000</v>
      </c>
      <c r="C10" s="13" t="n">
        <f aca="false">Datos!$B$56+Datos!$B$57+(Datos!$B$55-Datos!$B$56-Datos!$B$57)</f>
        <v>78300000</v>
      </c>
      <c r="D10" s="13" t="n">
        <f aca="false">B10-C10</f>
        <v>0</v>
      </c>
      <c r="E10" s="18" t="str">
        <f aca="false">IF(ABS(B10-C10)&lt;=0,"Sí","No")</f>
        <v>Sí</v>
      </c>
      <c r="F10" s="6" t="s">
        <v>165</v>
      </c>
    </row>
    <row r="11" customFormat="false" ht="15" hidden="false" customHeight="false" outlineLevel="0" collapsed="false">
      <c r="A11" s="7" t="s">
        <v>166</v>
      </c>
      <c r="B11" s="12" t="n">
        <f aca="false">Datos!$B$48</f>
        <v>17250</v>
      </c>
      <c r="C11" s="12" t="n">
        <f aca="false">Datos!$B$46</f>
        <v>11606</v>
      </c>
      <c r="D11" s="12" t="n">
        <f aca="false">B11-C11</f>
        <v>5644</v>
      </c>
      <c r="E11" s="18" t="str">
        <f aca="false">IF(B11&gt;=C11,"Sí","No")</f>
        <v>Sí</v>
      </c>
      <c r="F11" s="6" t="s">
        <v>167</v>
      </c>
    </row>
    <row r="12" customFormat="false" ht="15" hidden="false" customHeight="false" outlineLevel="0" collapsed="false">
      <c r="A12" s="7" t="s">
        <v>168</v>
      </c>
      <c r="B12" s="12" t="n">
        <f aca="false">COUNTIF(Nómina!Q3:Q12,"Sí")</f>
        <v>10</v>
      </c>
      <c r="C12" s="12" t="n">
        <f aca="false">COUNTA(Nómina!Q3:Q12)</f>
        <v>10</v>
      </c>
      <c r="D12" s="12" t="n">
        <f aca="false">B12-C12</f>
        <v>0</v>
      </c>
      <c r="E12" s="18" t="str">
        <f aca="false">IF(ABS(B12-C12)&lt;=0,"Sí","No")</f>
        <v>Sí</v>
      </c>
      <c r="F12" s="6" t="s">
        <v>169</v>
      </c>
    </row>
    <row r="14" customFormat="false" ht="15" hidden="false" customHeight="false" outlineLevel="0" collapsed="false">
      <c r="A14" s="19" t="s">
        <v>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0"/>
    <col collapsed="false" customWidth="true" hidden="false" outlineLevel="0" max="3" min="3" style="0" width="70"/>
  </cols>
  <sheetData>
    <row r="1" customFormat="false" ht="30" hidden="false" customHeight="true" outlineLevel="0" collapsed="false">
      <c r="A1" s="4" t="s">
        <v>171</v>
      </c>
      <c r="B1" s="4" t="s">
        <v>172</v>
      </c>
      <c r="C1" s="4" t="s">
        <v>173</v>
      </c>
    </row>
    <row r="2" customFormat="false" ht="23.85" hidden="false" customHeight="false" outlineLevel="0" collapsed="false">
      <c r="A2" s="7" t="s">
        <v>174</v>
      </c>
      <c r="B2" s="6" t="s">
        <v>175</v>
      </c>
      <c r="C2" s="6" t="s">
        <v>176</v>
      </c>
    </row>
    <row r="3" customFormat="false" ht="23.85" hidden="false" customHeight="false" outlineLevel="0" collapsed="false">
      <c r="A3" s="7" t="s">
        <v>177</v>
      </c>
      <c r="B3" s="6" t="s">
        <v>178</v>
      </c>
      <c r="C3" s="6" t="s">
        <v>179</v>
      </c>
    </row>
    <row r="4" customFormat="false" ht="23.85" hidden="false" customHeight="false" outlineLevel="0" collapsed="false">
      <c r="A4" s="7" t="s">
        <v>180</v>
      </c>
      <c r="B4" s="6" t="s">
        <v>181</v>
      </c>
      <c r="C4" s="6" t="s">
        <v>182</v>
      </c>
    </row>
    <row r="5" customFormat="false" ht="23.85" hidden="false" customHeight="false" outlineLevel="0" collapsed="false">
      <c r="A5" s="7" t="s">
        <v>183</v>
      </c>
      <c r="B5" s="6" t="s">
        <v>184</v>
      </c>
      <c r="C5" s="6" t="s">
        <v>185</v>
      </c>
    </row>
    <row r="6" customFormat="false" ht="15" hidden="false" customHeight="false" outlineLevel="0" collapsed="false">
      <c r="A6" s="7" t="s">
        <v>186</v>
      </c>
      <c r="B6" s="6" t="s">
        <v>187</v>
      </c>
      <c r="C6" s="6" t="s">
        <v>188</v>
      </c>
    </row>
    <row r="7" customFormat="false" ht="15" hidden="false" customHeight="false" outlineLevel="0" collapsed="false">
      <c r="A7" s="7" t="s">
        <v>189</v>
      </c>
      <c r="B7" s="6" t="s">
        <v>190</v>
      </c>
      <c r="C7" s="6" t="s">
        <v>191</v>
      </c>
    </row>
    <row r="8" customFormat="false" ht="15" hidden="false" customHeight="false" outlineLevel="0" collapsed="false">
      <c r="A8" s="7" t="s">
        <v>31</v>
      </c>
      <c r="B8" s="6" t="s">
        <v>192</v>
      </c>
      <c r="C8" s="6" t="s">
        <v>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70"/>
    <col collapsed="false" customWidth="true" hidden="false" outlineLevel="0" max="4" min="4" style="0" width="26"/>
  </cols>
  <sheetData>
    <row r="1" customFormat="false" ht="30" hidden="false" customHeight="true" outlineLevel="0" collapsed="false">
      <c r="A1" s="4" t="s">
        <v>194</v>
      </c>
      <c r="B1" s="4" t="s">
        <v>15</v>
      </c>
      <c r="C1" s="4" t="s">
        <v>195</v>
      </c>
      <c r="D1" s="4" t="s">
        <v>196</v>
      </c>
    </row>
    <row r="2" customFormat="false" ht="15" hidden="false" customHeight="false" outlineLevel="0" collapsed="false">
      <c r="A2" s="6" t="s">
        <v>23</v>
      </c>
      <c r="B2" s="20" t="n">
        <v>9414</v>
      </c>
      <c r="C2" s="6" t="s">
        <v>197</v>
      </c>
      <c r="D2" s="6" t="s">
        <v>29</v>
      </c>
    </row>
    <row r="3" customFormat="false" ht="15" hidden="false" customHeight="false" outlineLevel="0" collapsed="false">
      <c r="A3" s="6" t="s">
        <v>198</v>
      </c>
      <c r="B3" s="20" t="n">
        <v>9072</v>
      </c>
      <c r="C3" s="6" t="s">
        <v>199</v>
      </c>
      <c r="D3" s="6" t="s">
        <v>29</v>
      </c>
    </row>
    <row r="4" customFormat="false" ht="15" hidden="false" customHeight="false" outlineLevel="0" collapsed="false">
      <c r="A4" s="6" t="s">
        <v>200</v>
      </c>
      <c r="B4" s="20" t="n">
        <v>6200</v>
      </c>
      <c r="C4" s="6" t="s">
        <v>201</v>
      </c>
      <c r="D4" s="6" t="s">
        <v>29</v>
      </c>
    </row>
    <row r="5" customFormat="false" ht="15" hidden="false" customHeight="false" outlineLevel="0" collapsed="false">
      <c r="A5" s="6" t="s">
        <v>202</v>
      </c>
      <c r="B5" s="20" t="n">
        <v>2440</v>
      </c>
      <c r="C5" s="6" t="s">
        <v>203</v>
      </c>
      <c r="D5" s="6" t="s">
        <v>29</v>
      </c>
    </row>
    <row r="6" customFormat="false" ht="15" hidden="false" customHeight="false" outlineLevel="0" collapsed="false">
      <c r="A6" s="6" t="s">
        <v>204</v>
      </c>
      <c r="B6" s="20" t="n">
        <v>329</v>
      </c>
      <c r="C6" s="6" t="s">
        <v>205</v>
      </c>
      <c r="D6" s="6" t="s">
        <v>29</v>
      </c>
    </row>
    <row r="7" customFormat="false" ht="15" hidden="false" customHeight="false" outlineLevel="0" collapsed="false">
      <c r="A7" s="6" t="s">
        <v>206</v>
      </c>
      <c r="B7" s="20" t="n">
        <v>90</v>
      </c>
      <c r="C7" s="6" t="s">
        <v>207</v>
      </c>
      <c r="D7" s="6" t="s">
        <v>29</v>
      </c>
    </row>
    <row r="8" customFormat="false" ht="15" hidden="false" customHeight="false" outlineLevel="0" collapsed="false">
      <c r="A8" s="6" t="s">
        <v>208</v>
      </c>
      <c r="B8" s="20" t="n">
        <v>32</v>
      </c>
      <c r="C8" s="6" t="s">
        <v>209</v>
      </c>
      <c r="D8" s="6" t="s">
        <v>29</v>
      </c>
    </row>
    <row r="9" customFormat="false" ht="15" hidden="false" customHeight="false" outlineLevel="0" collapsed="false">
      <c r="A9" s="6" t="s">
        <v>210</v>
      </c>
      <c r="B9" s="20" t="n">
        <v>626</v>
      </c>
      <c r="C9" s="6" t="s">
        <v>211</v>
      </c>
      <c r="D9" s="6" t="s">
        <v>44</v>
      </c>
    </row>
    <row r="10" customFormat="false" ht="15" hidden="false" customHeight="false" outlineLevel="0" collapsed="false">
      <c r="A10" s="6" t="s">
        <v>212</v>
      </c>
      <c r="B10" s="21" t="n">
        <v>53</v>
      </c>
      <c r="C10" s="6" t="s">
        <v>213</v>
      </c>
      <c r="D10" s="6" t="s">
        <v>29</v>
      </c>
    </row>
    <row r="11" customFormat="false" ht="15" hidden="false" customHeight="false" outlineLevel="0" collapsed="false">
      <c r="A11" s="6" t="s">
        <v>214</v>
      </c>
      <c r="B11" s="20" t="n">
        <v>662</v>
      </c>
      <c r="C11" s="6" t="s">
        <v>215</v>
      </c>
      <c r="D11" s="6" t="s">
        <v>52</v>
      </c>
    </row>
    <row r="12" customFormat="false" ht="15" hidden="false" customHeight="false" outlineLevel="0" collapsed="false">
      <c r="A12" s="6" t="s">
        <v>49</v>
      </c>
      <c r="B12" s="20" t="n">
        <v>238</v>
      </c>
      <c r="C12" s="6" t="s">
        <v>216</v>
      </c>
      <c r="D12" s="6" t="s">
        <v>52</v>
      </c>
    </row>
    <row r="13" customFormat="false" ht="15" hidden="false" customHeight="false" outlineLevel="0" collapsed="false">
      <c r="A13" s="6" t="s">
        <v>217</v>
      </c>
      <c r="B13" s="20" t="n">
        <v>699</v>
      </c>
      <c r="C13" s="6" t="s">
        <v>218</v>
      </c>
      <c r="D13" s="6" t="s">
        <v>59</v>
      </c>
    </row>
    <row r="14" customFormat="false" ht="15" hidden="false" customHeight="false" outlineLevel="0" collapsed="false">
      <c r="A14" s="6" t="s">
        <v>219</v>
      </c>
      <c r="B14" s="22" t="n">
        <v>1206500</v>
      </c>
      <c r="C14" s="6" t="s">
        <v>220</v>
      </c>
      <c r="D14" s="6" t="s">
        <v>59</v>
      </c>
    </row>
    <row r="15" customFormat="false" ht="15" hidden="false" customHeight="false" outlineLevel="0" collapsed="false">
      <c r="A15" s="6" t="s">
        <v>221</v>
      </c>
      <c r="B15" s="22" t="n">
        <v>353500</v>
      </c>
      <c r="C15" s="6" t="s">
        <v>222</v>
      </c>
      <c r="D15" s="6" t="s">
        <v>59</v>
      </c>
    </row>
    <row r="16" customFormat="false" ht="15" hidden="false" customHeight="false" outlineLevel="0" collapsed="false">
      <c r="A16" s="6" t="s">
        <v>223</v>
      </c>
      <c r="B16" s="22" t="n">
        <v>271500</v>
      </c>
      <c r="C16" s="6" t="s">
        <v>224</v>
      </c>
      <c r="D16" s="6" t="s">
        <v>59</v>
      </c>
    </row>
    <row r="17" customFormat="false" ht="15" hidden="false" customHeight="false" outlineLevel="0" collapsed="false">
      <c r="A17" s="6" t="s">
        <v>225</v>
      </c>
      <c r="B17" s="20" t="n">
        <v>526</v>
      </c>
      <c r="C17" s="6" t="s">
        <v>226</v>
      </c>
      <c r="D17" s="6" t="s">
        <v>59</v>
      </c>
    </row>
    <row r="18" customFormat="false" ht="15" hidden="false" customHeight="false" outlineLevel="0" collapsed="false">
      <c r="A18" s="6" t="s">
        <v>227</v>
      </c>
      <c r="B18" s="20" t="n">
        <v>1042</v>
      </c>
      <c r="C18" s="6" t="s">
        <v>63</v>
      </c>
      <c r="D18" s="6" t="s">
        <v>67</v>
      </c>
    </row>
    <row r="19" customFormat="false" ht="15" hidden="false" customHeight="false" outlineLevel="0" collapsed="false">
      <c r="A19" s="6" t="s">
        <v>228</v>
      </c>
      <c r="B19" s="20" t="n">
        <v>508</v>
      </c>
      <c r="C19" s="6" t="s">
        <v>229</v>
      </c>
      <c r="D19" s="6" t="s">
        <v>52</v>
      </c>
    </row>
    <row r="20" customFormat="false" ht="15" hidden="false" customHeight="false" outlineLevel="0" collapsed="false">
      <c r="A20" s="6" t="s">
        <v>230</v>
      </c>
      <c r="B20" s="20" t="n">
        <v>3</v>
      </c>
      <c r="C20" s="6" t="s">
        <v>231</v>
      </c>
      <c r="D20" s="6" t="s">
        <v>67</v>
      </c>
    </row>
    <row r="21" customFormat="false" ht="15" hidden="false" customHeight="false" outlineLevel="0" collapsed="false">
      <c r="A21" s="6" t="s">
        <v>232</v>
      </c>
      <c r="B21" s="20" t="n">
        <v>531</v>
      </c>
      <c r="C21" s="6" t="s">
        <v>233</v>
      </c>
      <c r="D21" s="6" t="s">
        <v>52</v>
      </c>
    </row>
    <row r="22" customFormat="false" ht="15" hidden="false" customHeight="false" outlineLevel="0" collapsed="false">
      <c r="A22" s="6" t="s">
        <v>234</v>
      </c>
      <c r="B22" s="20" t="n">
        <v>0</v>
      </c>
      <c r="C22" s="6" t="s">
        <v>235</v>
      </c>
      <c r="D22" s="6" t="s">
        <v>140</v>
      </c>
    </row>
    <row r="23" customFormat="false" ht="15" hidden="false" customHeight="false" outlineLevel="0" collapsed="false">
      <c r="A23" s="6" t="s">
        <v>236</v>
      </c>
      <c r="B23" s="20" t="n">
        <v>2330</v>
      </c>
      <c r="C23" s="6" t="s">
        <v>237</v>
      </c>
      <c r="D23" s="6" t="s">
        <v>44</v>
      </c>
    </row>
    <row r="24" customFormat="false" ht="15" hidden="false" customHeight="false" outlineLevel="0" collapsed="false">
      <c r="A24" s="6" t="s">
        <v>238</v>
      </c>
      <c r="B24" s="20" t="n">
        <v>2214</v>
      </c>
      <c r="C24" s="6" t="s">
        <v>239</v>
      </c>
      <c r="D24" s="6" t="s">
        <v>44</v>
      </c>
    </row>
    <row r="25" customFormat="false" ht="15" hidden="false" customHeight="false" outlineLevel="0" collapsed="false">
      <c r="A25" s="6" t="s">
        <v>69</v>
      </c>
      <c r="B25" s="20" t="n">
        <v>53</v>
      </c>
      <c r="C25" s="6" t="s">
        <v>71</v>
      </c>
      <c r="D25" s="6" t="s">
        <v>52</v>
      </c>
    </row>
    <row r="26" customFormat="false" ht="15" hidden="false" customHeight="false" outlineLevel="0" collapsed="false">
      <c r="A26" s="6" t="s">
        <v>240</v>
      </c>
      <c r="B26" s="21" t="n">
        <v>30</v>
      </c>
      <c r="C26" s="6" t="s">
        <v>241</v>
      </c>
      <c r="D26" s="6" t="s">
        <v>242</v>
      </c>
    </row>
    <row r="27" customFormat="false" ht="15" hidden="false" customHeight="false" outlineLevel="0" collapsed="false">
      <c r="A27" s="6" t="s">
        <v>76</v>
      </c>
      <c r="B27" s="21" t="n">
        <v>362</v>
      </c>
      <c r="C27" s="6" t="s">
        <v>243</v>
      </c>
      <c r="D27" s="6" t="s">
        <v>44</v>
      </c>
    </row>
    <row r="28" customFormat="false" ht="15" hidden="false" customHeight="false" outlineLevel="0" collapsed="false">
      <c r="A28" s="6" t="s">
        <v>244</v>
      </c>
      <c r="B28" s="21" t="n">
        <v>331</v>
      </c>
      <c r="C28" s="6" t="s">
        <v>245</v>
      </c>
      <c r="D28" s="6" t="s">
        <v>52</v>
      </c>
    </row>
    <row r="29" customFormat="false" ht="15" hidden="false" customHeight="false" outlineLevel="0" collapsed="false">
      <c r="A29" s="6" t="s">
        <v>246</v>
      </c>
      <c r="B29" s="20" t="n">
        <v>6708</v>
      </c>
      <c r="C29" s="6" t="s">
        <v>247</v>
      </c>
      <c r="D29" s="6" t="s">
        <v>52</v>
      </c>
    </row>
    <row r="30" customFormat="false" ht="15" hidden="false" customHeight="false" outlineLevel="0" collapsed="false">
      <c r="A30" s="6" t="s">
        <v>248</v>
      </c>
      <c r="B30" s="20" t="n">
        <v>1212</v>
      </c>
      <c r="C30" s="6" t="s">
        <v>249</v>
      </c>
      <c r="D30" s="6" t="s">
        <v>52</v>
      </c>
    </row>
    <row r="31" customFormat="false" ht="15" hidden="false" customHeight="false" outlineLevel="0" collapsed="false">
      <c r="A31" s="6" t="s">
        <v>250</v>
      </c>
      <c r="B31" s="20" t="n">
        <v>965</v>
      </c>
      <c r="C31" s="6" t="s">
        <v>251</v>
      </c>
      <c r="D31" s="6" t="s">
        <v>52</v>
      </c>
    </row>
    <row r="32" customFormat="false" ht="15" hidden="false" customHeight="false" outlineLevel="0" collapsed="false">
      <c r="A32" s="6" t="s">
        <v>252</v>
      </c>
      <c r="B32" s="20" t="n">
        <v>9298</v>
      </c>
      <c r="C32" s="6" t="s">
        <v>253</v>
      </c>
      <c r="D32" s="6" t="s">
        <v>254</v>
      </c>
    </row>
    <row r="33" customFormat="false" ht="15" hidden="false" customHeight="false" outlineLevel="0" collapsed="false">
      <c r="A33" s="6" t="s">
        <v>255</v>
      </c>
      <c r="B33" s="20" t="n">
        <v>7245</v>
      </c>
      <c r="C33" s="6" t="s">
        <v>256</v>
      </c>
      <c r="D33" s="6" t="s">
        <v>257</v>
      </c>
    </row>
    <row r="34" customFormat="false" ht="15" hidden="false" customHeight="false" outlineLevel="0" collapsed="false">
      <c r="A34" s="6" t="s">
        <v>258</v>
      </c>
      <c r="B34" s="20" t="n">
        <v>6669</v>
      </c>
      <c r="C34" s="6" t="s">
        <v>259</v>
      </c>
      <c r="D34" s="6" t="s">
        <v>44</v>
      </c>
    </row>
    <row r="35" customFormat="false" ht="15" hidden="false" customHeight="false" outlineLevel="0" collapsed="false">
      <c r="A35" s="6" t="s">
        <v>260</v>
      </c>
      <c r="B35" s="21" t="n">
        <v>90</v>
      </c>
      <c r="C35" s="6" t="s">
        <v>261</v>
      </c>
      <c r="D35" s="6" t="s">
        <v>242</v>
      </c>
    </row>
    <row r="36" customFormat="false" ht="15" hidden="false" customHeight="false" outlineLevel="0" collapsed="false">
      <c r="A36" s="6" t="s">
        <v>101</v>
      </c>
      <c r="B36" s="20" t="n">
        <v>36</v>
      </c>
      <c r="C36" s="6" t="s">
        <v>262</v>
      </c>
      <c r="D36" s="6" t="s">
        <v>44</v>
      </c>
    </row>
    <row r="37" customFormat="false" ht="15" hidden="false" customHeight="false" outlineLevel="0" collapsed="false">
      <c r="A37" s="6" t="s">
        <v>263</v>
      </c>
      <c r="B37" s="23" t="n">
        <v>64.9</v>
      </c>
      <c r="C37" s="6" t="s">
        <v>264</v>
      </c>
      <c r="D37" s="6" t="s">
        <v>44</v>
      </c>
    </row>
    <row r="38" customFormat="false" ht="15" hidden="false" customHeight="false" outlineLevel="0" collapsed="false">
      <c r="A38" s="6" t="s">
        <v>265</v>
      </c>
      <c r="B38" s="23" t="n">
        <v>60</v>
      </c>
      <c r="C38" s="6" t="s">
        <v>266</v>
      </c>
      <c r="D38" s="6" t="s">
        <v>44</v>
      </c>
    </row>
    <row r="39" customFormat="false" ht="15" hidden="false" customHeight="false" outlineLevel="0" collapsed="false">
      <c r="A39" s="6" t="s">
        <v>267</v>
      </c>
      <c r="B39" s="23" t="n">
        <v>102.9</v>
      </c>
      <c r="C39" s="6" t="s">
        <v>268</v>
      </c>
      <c r="D39" s="6" t="s">
        <v>44</v>
      </c>
    </row>
    <row r="40" customFormat="false" ht="15" hidden="false" customHeight="false" outlineLevel="0" collapsed="false">
      <c r="A40" s="6" t="s">
        <v>269</v>
      </c>
      <c r="B40" s="23" t="n">
        <v>53.1</v>
      </c>
      <c r="C40" s="6" t="s">
        <v>270</v>
      </c>
      <c r="D40" s="6" t="s">
        <v>52</v>
      </c>
    </row>
    <row r="41" customFormat="false" ht="15" hidden="false" customHeight="false" outlineLevel="0" collapsed="false">
      <c r="A41" s="6" t="s">
        <v>271</v>
      </c>
      <c r="B41" s="20" t="n">
        <v>8996</v>
      </c>
      <c r="C41" s="6" t="s">
        <v>272</v>
      </c>
      <c r="D41" s="6" t="s">
        <v>52</v>
      </c>
    </row>
    <row r="42" customFormat="false" ht="15" hidden="false" customHeight="false" outlineLevel="0" collapsed="false">
      <c r="A42" s="6" t="s">
        <v>273</v>
      </c>
      <c r="B42" s="20" t="n">
        <v>1475</v>
      </c>
      <c r="C42" s="6" t="s">
        <v>274</v>
      </c>
      <c r="D42" s="6" t="s">
        <v>52</v>
      </c>
    </row>
    <row r="43" customFormat="false" ht="15" hidden="false" customHeight="false" outlineLevel="0" collapsed="false">
      <c r="A43" s="6" t="s">
        <v>275</v>
      </c>
      <c r="B43" s="20" t="n">
        <v>431</v>
      </c>
      <c r="C43" s="6" t="s">
        <v>276</v>
      </c>
      <c r="D43" s="6" t="s">
        <v>52</v>
      </c>
    </row>
    <row r="44" customFormat="false" ht="15" hidden="false" customHeight="false" outlineLevel="0" collapsed="false">
      <c r="A44" s="6" t="s">
        <v>277</v>
      </c>
      <c r="B44" s="20" t="n">
        <v>837</v>
      </c>
      <c r="C44" s="6" t="s">
        <v>278</v>
      </c>
      <c r="D44" s="6" t="s">
        <v>67</v>
      </c>
    </row>
    <row r="45" customFormat="false" ht="15" hidden="false" customHeight="false" outlineLevel="0" collapsed="false">
      <c r="A45" s="6" t="s">
        <v>279</v>
      </c>
      <c r="B45" s="20" t="n">
        <v>547</v>
      </c>
      <c r="C45" s="6" t="s">
        <v>280</v>
      </c>
      <c r="D45" s="6" t="s">
        <v>257</v>
      </c>
    </row>
    <row r="46" customFormat="false" ht="15" hidden="false" customHeight="false" outlineLevel="0" collapsed="false">
      <c r="A46" s="6" t="s">
        <v>281</v>
      </c>
      <c r="B46" s="20" t="n">
        <v>11606</v>
      </c>
      <c r="C46" s="6" t="s">
        <v>282</v>
      </c>
      <c r="D46" s="6" t="s">
        <v>283</v>
      </c>
    </row>
    <row r="47" customFormat="false" ht="15" hidden="false" customHeight="false" outlineLevel="0" collapsed="false">
      <c r="A47" s="6" t="s">
        <v>284</v>
      </c>
      <c r="B47" s="20" t="n">
        <v>252</v>
      </c>
      <c r="C47" s="6" t="s">
        <v>285</v>
      </c>
      <c r="D47" s="6" t="s">
        <v>132</v>
      </c>
    </row>
    <row r="48" customFormat="false" ht="15" hidden="false" customHeight="false" outlineLevel="0" collapsed="false">
      <c r="A48" s="6" t="s">
        <v>286</v>
      </c>
      <c r="B48" s="20" t="n">
        <v>17250</v>
      </c>
      <c r="C48" s="6" t="s">
        <v>287</v>
      </c>
      <c r="D48" s="6" t="s">
        <v>125</v>
      </c>
    </row>
    <row r="49" customFormat="false" ht="15" hidden="false" customHeight="false" outlineLevel="0" collapsed="false">
      <c r="A49" s="6" t="s">
        <v>288</v>
      </c>
      <c r="B49" s="20" t="n">
        <v>6712</v>
      </c>
      <c r="C49" s="6" t="s">
        <v>289</v>
      </c>
      <c r="D49" s="6" t="s">
        <v>132</v>
      </c>
    </row>
    <row r="50" customFormat="false" ht="15" hidden="false" customHeight="false" outlineLevel="0" collapsed="false">
      <c r="A50" s="6" t="s">
        <v>290</v>
      </c>
      <c r="B50" s="20" t="n">
        <v>107</v>
      </c>
      <c r="C50" s="6" t="s">
        <v>291</v>
      </c>
      <c r="D50" s="6" t="s">
        <v>132</v>
      </c>
    </row>
    <row r="51" customFormat="false" ht="15" hidden="false" customHeight="false" outlineLevel="0" collapsed="false">
      <c r="A51" s="6" t="s">
        <v>292</v>
      </c>
      <c r="B51" s="22" t="n">
        <v>10167500</v>
      </c>
      <c r="C51" s="6" t="s">
        <v>293</v>
      </c>
      <c r="D51" s="6" t="s">
        <v>132</v>
      </c>
    </row>
    <row r="52" customFormat="false" ht="15" hidden="false" customHeight="false" outlineLevel="0" collapsed="false">
      <c r="A52" s="6" t="s">
        <v>294</v>
      </c>
      <c r="B52" s="20" t="n">
        <v>19788</v>
      </c>
      <c r="C52" s="6" t="s">
        <v>295</v>
      </c>
      <c r="D52" s="6" t="s">
        <v>132</v>
      </c>
    </row>
    <row r="53" customFormat="false" ht="15" hidden="false" customHeight="false" outlineLevel="0" collapsed="false">
      <c r="A53" s="6" t="s">
        <v>296</v>
      </c>
      <c r="B53" s="22" t="n">
        <v>121500</v>
      </c>
      <c r="C53" s="6"/>
      <c r="D53" s="6" t="s">
        <v>132</v>
      </c>
    </row>
    <row r="54" customFormat="false" ht="15" hidden="false" customHeight="false" outlineLevel="0" collapsed="false">
      <c r="A54" s="6" t="s">
        <v>297</v>
      </c>
      <c r="B54" s="22" t="n">
        <v>81920000</v>
      </c>
      <c r="C54" s="6" t="s">
        <v>298</v>
      </c>
      <c r="D54" s="6" t="s">
        <v>140</v>
      </c>
    </row>
    <row r="55" customFormat="false" ht="15" hidden="false" customHeight="false" outlineLevel="0" collapsed="false">
      <c r="A55" s="6" t="s">
        <v>299</v>
      </c>
      <c r="B55" s="22" t="n">
        <v>78300000</v>
      </c>
      <c r="C55" s="6" t="s">
        <v>300</v>
      </c>
      <c r="D55" s="6" t="s">
        <v>140</v>
      </c>
    </row>
    <row r="56" customFormat="false" ht="15" hidden="false" customHeight="false" outlineLevel="0" collapsed="false">
      <c r="A56" s="6" t="s">
        <v>301</v>
      </c>
      <c r="B56" s="22" t="n">
        <v>61169500</v>
      </c>
      <c r="C56" s="6" t="s">
        <v>302</v>
      </c>
      <c r="D56" s="6" t="s">
        <v>140</v>
      </c>
    </row>
    <row r="57" customFormat="false" ht="15" hidden="false" customHeight="false" outlineLevel="0" collapsed="false">
      <c r="A57" s="6" t="s">
        <v>303</v>
      </c>
      <c r="B57" s="22" t="n">
        <v>6381000</v>
      </c>
      <c r="C57" s="6" t="s">
        <v>304</v>
      </c>
      <c r="D57" s="6" t="s">
        <v>140</v>
      </c>
    </row>
    <row r="58" customFormat="false" ht="15" hidden="false" customHeight="false" outlineLevel="0" collapsed="false">
      <c r="A58" s="6" t="s">
        <v>305</v>
      </c>
      <c r="B58" s="22" t="n">
        <v>1835500</v>
      </c>
      <c r="C58" s="6" t="s">
        <v>306</v>
      </c>
      <c r="D58" s="6" t="s">
        <v>59</v>
      </c>
    </row>
    <row r="59" customFormat="false" ht="15" hidden="false" customHeight="false" outlineLevel="0" collapsed="false">
      <c r="A59" s="6" t="s">
        <v>307</v>
      </c>
      <c r="B59" s="20" t="n">
        <v>9</v>
      </c>
      <c r="C59" s="6" t="s">
        <v>308</v>
      </c>
      <c r="D59" s="6" t="s">
        <v>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5" min="4" style="0" width="13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9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9"/>
    <col collapsed="false" customWidth="true" hidden="false" outlineLevel="0" max="14" min="13" style="0" width="13"/>
    <col collapsed="false" customWidth="true" hidden="false" outlineLevel="0" max="15" min="15" style="0" width="14"/>
    <col collapsed="false" customWidth="true" hidden="false" outlineLevel="0" max="16" min="16" style="0" width="15"/>
    <col collapsed="false" customWidth="true" hidden="false" outlineLevel="0" max="17" min="17" style="0" width="10"/>
  </cols>
  <sheetData>
    <row r="1" customFormat="false" ht="30" hidden="false" customHeight="true" outlineLevel="0" collapsed="false">
      <c r="A1" s="4" t="s">
        <v>132</v>
      </c>
      <c r="B1" s="4" t="s">
        <v>309</v>
      </c>
      <c r="C1" s="4" t="s">
        <v>310</v>
      </c>
      <c r="D1" s="4" t="s">
        <v>311</v>
      </c>
      <c r="E1" s="4" t="s">
        <v>312</v>
      </c>
      <c r="F1" s="4" t="s">
        <v>313</v>
      </c>
      <c r="G1" s="4" t="s">
        <v>314</v>
      </c>
      <c r="H1" s="4" t="s">
        <v>315</v>
      </c>
      <c r="I1" s="4" t="s">
        <v>316</v>
      </c>
      <c r="J1" s="4" t="s">
        <v>290</v>
      </c>
      <c r="K1" s="4" t="s">
        <v>317</v>
      </c>
      <c r="L1" s="4" t="s">
        <v>318</v>
      </c>
      <c r="M1" s="4" t="s">
        <v>294</v>
      </c>
      <c r="N1" s="4" t="s">
        <v>319</v>
      </c>
      <c r="O1" s="4" t="s">
        <v>320</v>
      </c>
      <c r="P1" s="4" t="s">
        <v>321</v>
      </c>
      <c r="Q1" s="4" t="s">
        <v>146</v>
      </c>
    </row>
    <row r="2" customFormat="false" ht="15" hidden="false" customHeight="false" outlineLevel="0" collapsed="false">
      <c r="A2" s="24" t="s">
        <v>322</v>
      </c>
      <c r="B2" s="25" t="n">
        <v>5318000</v>
      </c>
      <c r="C2" s="25" t="n">
        <v>247000</v>
      </c>
      <c r="D2" s="25" t="n">
        <v>757500</v>
      </c>
      <c r="E2" s="25" t="n">
        <v>13500</v>
      </c>
      <c r="F2" s="25" t="n">
        <v>5500</v>
      </c>
      <c r="G2" s="26" t="n">
        <f aca="false">SUM(B2:F2)</f>
        <v>6341500</v>
      </c>
      <c r="H2" s="27" t="n">
        <v>10917</v>
      </c>
      <c r="I2" s="27" t="n">
        <v>486</v>
      </c>
      <c r="J2" s="27" t="n">
        <v>9</v>
      </c>
      <c r="K2" s="27" t="n">
        <v>535</v>
      </c>
      <c r="L2" s="27" t="n">
        <v>9</v>
      </c>
      <c r="M2" s="27" t="n">
        <v>1496</v>
      </c>
      <c r="N2" s="28" t="n">
        <f aca="false">IFERROR(M2/I2,0)</f>
        <v>3.07818930041152</v>
      </c>
      <c r="O2" s="24"/>
      <c r="P2" s="24"/>
      <c r="Q2" s="24"/>
    </row>
    <row r="3" customFormat="false" ht="15" hidden="false" customHeight="false" outlineLevel="0" collapsed="false">
      <c r="A3" s="24" t="s">
        <v>323</v>
      </c>
      <c r="B3" s="25" t="n">
        <v>5299500</v>
      </c>
      <c r="C3" s="25" t="n">
        <v>359500</v>
      </c>
      <c r="D3" s="25" t="n">
        <v>1087500</v>
      </c>
      <c r="E3" s="25" t="n">
        <v>8000</v>
      </c>
      <c r="F3" s="25" t="n">
        <v>2500</v>
      </c>
      <c r="G3" s="26" t="n">
        <f aca="false">SUM(B3:F3)</f>
        <v>6757000</v>
      </c>
      <c r="H3" s="27" t="n">
        <v>11093</v>
      </c>
      <c r="I3" s="27" t="n">
        <v>700</v>
      </c>
      <c r="J3" s="27" t="n">
        <v>9</v>
      </c>
      <c r="K3" s="27" t="n">
        <v>511</v>
      </c>
      <c r="L3" s="27" t="n">
        <v>13</v>
      </c>
      <c r="M3" s="27" t="n">
        <v>2112</v>
      </c>
      <c r="N3" s="28" t="n">
        <f aca="false">IFERROR(M3/I3,0)</f>
        <v>3.01714285714286</v>
      </c>
      <c r="O3" s="29" t="n">
        <f aca="false">H3-H2</f>
        <v>176</v>
      </c>
      <c r="P3" s="29" t="n">
        <f aca="false">I3-K3-L3</f>
        <v>176</v>
      </c>
      <c r="Q3" s="24" t="str">
        <f aca="false">IF(O3=P3,"Sí","No")</f>
        <v>Sí</v>
      </c>
    </row>
    <row r="4" customFormat="false" ht="15" hidden="false" customHeight="false" outlineLevel="0" collapsed="false">
      <c r="A4" s="24" t="s">
        <v>324</v>
      </c>
      <c r="B4" s="25" t="n">
        <v>5390500</v>
      </c>
      <c r="C4" s="25" t="n">
        <v>340000</v>
      </c>
      <c r="D4" s="25" t="n">
        <v>1023000</v>
      </c>
      <c r="E4" s="25" t="n">
        <v>14500</v>
      </c>
      <c r="F4" s="25" t="n">
        <v>8000</v>
      </c>
      <c r="G4" s="26" t="n">
        <f aca="false">SUM(B4:F4)</f>
        <v>6776000</v>
      </c>
      <c r="H4" s="27" t="n">
        <v>11225</v>
      </c>
      <c r="I4" s="27" t="n">
        <v>660</v>
      </c>
      <c r="J4" s="27" t="n">
        <v>14</v>
      </c>
      <c r="K4" s="27" t="n">
        <v>521</v>
      </c>
      <c r="L4" s="27" t="n">
        <v>7</v>
      </c>
      <c r="M4" s="27" t="n">
        <v>1986</v>
      </c>
      <c r="N4" s="28" t="n">
        <f aca="false">IFERROR(M4/I4,0)</f>
        <v>3.00909090909091</v>
      </c>
      <c r="O4" s="29" t="n">
        <f aca="false">H4-H3</f>
        <v>132</v>
      </c>
      <c r="P4" s="29" t="n">
        <f aca="false">I4-K4-L4</f>
        <v>132</v>
      </c>
      <c r="Q4" s="24" t="str">
        <f aca="false">IF(O4=P4,"Sí","No")</f>
        <v>Sí</v>
      </c>
    </row>
    <row r="5" customFormat="false" ht="15" hidden="false" customHeight="false" outlineLevel="0" collapsed="false">
      <c r="A5" s="24" t="s">
        <v>325</v>
      </c>
      <c r="B5" s="25" t="n">
        <v>5438500</v>
      </c>
      <c r="C5" s="25" t="n">
        <v>302500</v>
      </c>
      <c r="D5" s="25" t="n">
        <v>910000</v>
      </c>
      <c r="E5" s="25" t="n">
        <v>17500</v>
      </c>
      <c r="F5" s="25" t="n">
        <v>7500</v>
      </c>
      <c r="G5" s="26" t="n">
        <f aca="false">SUM(B5:F5)</f>
        <v>6676000</v>
      </c>
      <c r="H5" s="27" t="n">
        <v>11239</v>
      </c>
      <c r="I5" s="27" t="n">
        <v>587</v>
      </c>
      <c r="J5" s="27" t="n">
        <v>14</v>
      </c>
      <c r="K5" s="27" t="n">
        <v>564</v>
      </c>
      <c r="L5" s="27" t="n">
        <v>9</v>
      </c>
      <c r="M5" s="27" t="n">
        <v>1763</v>
      </c>
      <c r="N5" s="28" t="n">
        <f aca="false">IFERROR(M5/I5,0)</f>
        <v>3.00340715502555</v>
      </c>
      <c r="O5" s="29" t="n">
        <f aca="false">H5-H4</f>
        <v>14</v>
      </c>
      <c r="P5" s="29" t="n">
        <f aca="false">I5-K5-L5</f>
        <v>14</v>
      </c>
      <c r="Q5" s="24" t="str">
        <f aca="false">IF(O5=P5,"Sí","No")</f>
        <v>Sí</v>
      </c>
    </row>
    <row r="6" customFormat="false" ht="15" hidden="false" customHeight="false" outlineLevel="0" collapsed="false">
      <c r="A6" s="24" t="s">
        <v>326</v>
      </c>
      <c r="B6" s="25" t="n">
        <v>5469000</v>
      </c>
      <c r="C6" s="25" t="n">
        <v>314500</v>
      </c>
      <c r="D6" s="25" t="n">
        <v>940500</v>
      </c>
      <c r="E6" s="25" t="n">
        <v>12000</v>
      </c>
      <c r="F6" s="25" t="n">
        <v>2000</v>
      </c>
      <c r="G6" s="26" t="n">
        <f aca="false">SUM(B6:F6)</f>
        <v>6738000</v>
      </c>
      <c r="H6" s="27" t="n">
        <v>11315</v>
      </c>
      <c r="I6" s="27" t="n">
        <v>609</v>
      </c>
      <c r="J6" s="27" t="n">
        <v>12</v>
      </c>
      <c r="K6" s="27" t="n">
        <v>525</v>
      </c>
      <c r="L6" s="27" t="n">
        <v>8</v>
      </c>
      <c r="M6" s="27" t="n">
        <v>1808</v>
      </c>
      <c r="N6" s="28" t="n">
        <f aca="false">IFERROR(M6/I6,0)</f>
        <v>2.9688013136289</v>
      </c>
      <c r="O6" s="29" t="n">
        <f aca="false">H6-H5</f>
        <v>76</v>
      </c>
      <c r="P6" s="29" t="n">
        <f aca="false">I6-K6-L6</f>
        <v>76</v>
      </c>
      <c r="Q6" s="24" t="str">
        <f aca="false">IF(O6=P6,"Sí","No")</f>
        <v>Sí</v>
      </c>
    </row>
    <row r="7" customFormat="false" ht="15" hidden="false" customHeight="false" outlineLevel="0" collapsed="false">
      <c r="A7" s="24" t="s">
        <v>327</v>
      </c>
      <c r="B7" s="25" t="n">
        <v>5508000</v>
      </c>
      <c r="C7" s="25" t="n">
        <v>314500</v>
      </c>
      <c r="D7" s="25" t="n">
        <v>934500</v>
      </c>
      <c r="E7" s="25" t="n">
        <v>10000</v>
      </c>
      <c r="F7" s="25" t="n">
        <v>7000</v>
      </c>
      <c r="G7" s="26" t="n">
        <f aca="false">SUM(B7:F7)</f>
        <v>6774000</v>
      </c>
      <c r="H7" s="27" t="n">
        <v>11399</v>
      </c>
      <c r="I7" s="27" t="n">
        <v>619</v>
      </c>
      <c r="J7" s="27" t="n">
        <v>9</v>
      </c>
      <c r="K7" s="27" t="n">
        <v>528</v>
      </c>
      <c r="L7" s="27" t="n">
        <v>7</v>
      </c>
      <c r="M7" s="27" t="n">
        <v>1833</v>
      </c>
      <c r="N7" s="28" t="n">
        <f aca="false">IFERROR(M7/I7,0)</f>
        <v>2.96122778675283</v>
      </c>
      <c r="O7" s="29" t="n">
        <f aca="false">H7-H6</f>
        <v>84</v>
      </c>
      <c r="P7" s="29" t="n">
        <f aca="false">I7-K7-L7</f>
        <v>84</v>
      </c>
      <c r="Q7" s="24" t="str">
        <f aca="false">IF(O7=P7,"Sí","No")</f>
        <v>Sí</v>
      </c>
    </row>
    <row r="8" customFormat="false" ht="15" hidden="false" customHeight="false" outlineLevel="0" collapsed="false">
      <c r="A8" s="24" t="s">
        <v>328</v>
      </c>
      <c r="B8" s="25" t="n">
        <v>5540000</v>
      </c>
      <c r="C8" s="25" t="n">
        <v>357500</v>
      </c>
      <c r="D8" s="25" t="n">
        <v>1056500</v>
      </c>
      <c r="E8" s="25" t="n">
        <v>10000</v>
      </c>
      <c r="F8" s="25" t="n">
        <v>1000</v>
      </c>
      <c r="G8" s="26" t="n">
        <f aca="false">SUM(B8:F8)</f>
        <v>6965000</v>
      </c>
      <c r="H8" s="27" t="n">
        <v>11545</v>
      </c>
      <c r="I8" s="27" t="n">
        <v>698</v>
      </c>
      <c r="J8" s="27" t="n">
        <v>8</v>
      </c>
      <c r="K8" s="27" t="n">
        <v>540</v>
      </c>
      <c r="L8" s="27" t="n">
        <v>12</v>
      </c>
      <c r="M8" s="27" t="n">
        <v>2057</v>
      </c>
      <c r="N8" s="28" t="n">
        <f aca="false">IFERROR(M8/I8,0)</f>
        <v>2.94699140401146</v>
      </c>
      <c r="O8" s="29" t="n">
        <f aca="false">H8-H7</f>
        <v>146</v>
      </c>
      <c r="P8" s="29" t="n">
        <f aca="false">I8-K8-L8</f>
        <v>146</v>
      </c>
      <c r="Q8" s="24" t="str">
        <f aca="false">IF(O8=P8,"Sí","No")</f>
        <v>Sí</v>
      </c>
    </row>
    <row r="9" customFormat="false" ht="15" hidden="false" customHeight="false" outlineLevel="0" collapsed="false">
      <c r="A9" s="24" t="s">
        <v>329</v>
      </c>
      <c r="B9" s="25" t="n">
        <v>5598500</v>
      </c>
      <c r="C9" s="25" t="n">
        <v>309500</v>
      </c>
      <c r="D9" s="25" t="n">
        <v>882500</v>
      </c>
      <c r="E9" s="25" t="n">
        <v>10500</v>
      </c>
      <c r="F9" s="25" t="n">
        <v>1000</v>
      </c>
      <c r="G9" s="26" t="n">
        <f aca="false">SUM(B9:F9)</f>
        <v>6802000</v>
      </c>
      <c r="H9" s="27" t="n">
        <v>11566</v>
      </c>
      <c r="I9" s="27" t="n">
        <v>608</v>
      </c>
      <c r="J9" s="27" t="n">
        <v>11</v>
      </c>
      <c r="K9" s="27" t="n">
        <v>577</v>
      </c>
      <c r="L9" s="27" t="n">
        <v>10</v>
      </c>
      <c r="M9" s="27" t="n">
        <v>1731</v>
      </c>
      <c r="N9" s="28" t="n">
        <f aca="false">IFERROR(M9/I9,0)</f>
        <v>2.84703947368421</v>
      </c>
      <c r="O9" s="29" t="n">
        <f aca="false">H9-H8</f>
        <v>21</v>
      </c>
      <c r="P9" s="29" t="n">
        <f aca="false">I9-K9-L9</f>
        <v>21</v>
      </c>
      <c r="Q9" s="24" t="str">
        <f aca="false">IF(O9=P9,"Sí","No")</f>
        <v>Sí</v>
      </c>
    </row>
    <row r="10" customFormat="false" ht="15" hidden="false" customHeight="false" outlineLevel="0" collapsed="false">
      <c r="A10" s="24" t="s">
        <v>330</v>
      </c>
      <c r="B10" s="25" t="n">
        <v>5624000</v>
      </c>
      <c r="C10" s="25" t="n">
        <v>322000</v>
      </c>
      <c r="D10" s="25" t="n">
        <v>920000</v>
      </c>
      <c r="E10" s="25" t="n">
        <v>6500</v>
      </c>
      <c r="F10" s="25" t="n">
        <v>3000</v>
      </c>
      <c r="G10" s="26" t="n">
        <f aca="false">SUM(B10:F10)</f>
        <v>6875500</v>
      </c>
      <c r="H10" s="27" t="n">
        <v>11643</v>
      </c>
      <c r="I10" s="27" t="n">
        <v>632</v>
      </c>
      <c r="J10" s="27" t="n">
        <v>5</v>
      </c>
      <c r="K10" s="27" t="n">
        <v>543</v>
      </c>
      <c r="L10" s="27" t="n">
        <v>12</v>
      </c>
      <c r="M10" s="27" t="n">
        <v>1803</v>
      </c>
      <c r="N10" s="28" t="n">
        <f aca="false">IFERROR(M10/I10,0)</f>
        <v>2.85284810126582</v>
      </c>
      <c r="O10" s="29" t="n">
        <f aca="false">H10-H9</f>
        <v>77</v>
      </c>
      <c r="P10" s="29" t="n">
        <f aca="false">I10-K10-L10</f>
        <v>77</v>
      </c>
      <c r="Q10" s="24" t="str">
        <f aca="false">IF(O10=P10,"Sí","No")</f>
        <v>Sí</v>
      </c>
    </row>
    <row r="11" customFormat="false" ht="15" hidden="false" customHeight="false" outlineLevel="0" collapsed="false">
      <c r="A11" s="24" t="s">
        <v>331</v>
      </c>
      <c r="B11" s="25" t="n">
        <v>5659500</v>
      </c>
      <c r="C11" s="25" t="n">
        <v>291500</v>
      </c>
      <c r="D11" s="25" t="n">
        <v>841500</v>
      </c>
      <c r="E11" s="25" t="n">
        <v>13000</v>
      </c>
      <c r="F11" s="25" t="n">
        <v>4000</v>
      </c>
      <c r="G11" s="26" t="n">
        <f aca="false">SUM(B11:F11)</f>
        <v>6809500</v>
      </c>
      <c r="H11" s="27" t="n">
        <v>11644</v>
      </c>
      <c r="I11" s="27" t="n">
        <v>563</v>
      </c>
      <c r="J11" s="27" t="n">
        <v>11</v>
      </c>
      <c r="K11" s="27" t="n">
        <v>556</v>
      </c>
      <c r="L11" s="27" t="n">
        <v>6</v>
      </c>
      <c r="M11" s="27" t="n">
        <v>1624</v>
      </c>
      <c r="N11" s="28" t="n">
        <f aca="false">IFERROR(M11/I11,0)</f>
        <v>2.88454706927176</v>
      </c>
      <c r="O11" s="29" t="n">
        <f aca="false">H11-H10</f>
        <v>1</v>
      </c>
      <c r="P11" s="29" t="n">
        <f aca="false">I11-K11-L11</f>
        <v>1</v>
      </c>
      <c r="Q11" s="24" t="str">
        <f aca="false">IF(O11=P11,"Sí","No")</f>
        <v>Sí</v>
      </c>
    </row>
    <row r="12" customFormat="false" ht="15" hidden="false" customHeight="false" outlineLevel="0" collapsed="false">
      <c r="A12" s="24" t="s">
        <v>332</v>
      </c>
      <c r="B12" s="25" t="n">
        <v>5647000</v>
      </c>
      <c r="C12" s="25" t="n">
        <v>284000</v>
      </c>
      <c r="D12" s="25" t="n">
        <v>814000</v>
      </c>
      <c r="E12" s="25" t="n">
        <v>6000</v>
      </c>
      <c r="F12" s="25" t="n">
        <v>2500</v>
      </c>
      <c r="G12" s="26" t="n">
        <f aca="false">SUM(B12:F12)</f>
        <v>6753500</v>
      </c>
      <c r="H12" s="27" t="n">
        <v>11606</v>
      </c>
      <c r="I12" s="27" t="n">
        <v>550</v>
      </c>
      <c r="J12" s="27" t="n">
        <v>5</v>
      </c>
      <c r="K12" s="27" t="n">
        <v>581</v>
      </c>
      <c r="L12" s="27" t="n">
        <v>7</v>
      </c>
      <c r="M12" s="27" t="n">
        <v>1575</v>
      </c>
      <c r="N12" s="28" t="n">
        <f aca="false">IFERROR(M12/I12,0)</f>
        <v>2.86363636363636</v>
      </c>
      <c r="O12" s="29" t="n">
        <f aca="false">H12-H11</f>
        <v>-38</v>
      </c>
      <c r="P12" s="29" t="n">
        <f aca="false">I12-K12-L12</f>
        <v>-38</v>
      </c>
      <c r="Q12" s="24" t="str">
        <f aca="false">IF(O12=P12,"Sí","No")</f>
        <v>Sí</v>
      </c>
    </row>
    <row r="13" customFormat="false" ht="15" hidden="false" customHeight="false" outlineLevel="0" collapsed="false">
      <c r="A13" s="30" t="s">
        <v>333</v>
      </c>
      <c r="B13" s="31" t="n">
        <f aca="false">SUM(B2:B12)</f>
        <v>60492500</v>
      </c>
      <c r="C13" s="31" t="n">
        <f aca="false">SUM(C2:C12)</f>
        <v>3442500</v>
      </c>
      <c r="D13" s="31" t="n">
        <f aca="false">SUM(D2:D12)</f>
        <v>10167500</v>
      </c>
      <c r="E13" s="31" t="n">
        <f aca="false">SUM(E2:E12)</f>
        <v>121500</v>
      </c>
      <c r="F13" s="31" t="n">
        <f aca="false">SUM(F2:F12)</f>
        <v>44000</v>
      </c>
      <c r="G13" s="31" t="n">
        <f aca="false">SUM(G2:G12)</f>
        <v>74268000</v>
      </c>
      <c r="I13" s="32" t="n">
        <f aca="false">SUM(I2:I12)</f>
        <v>6712</v>
      </c>
      <c r="J13" s="32" t="n">
        <f aca="false">SUM(J2:J12)</f>
        <v>107</v>
      </c>
      <c r="K13" s="32" t="n">
        <f aca="false">SUM(K2:K12)</f>
        <v>5981</v>
      </c>
      <c r="L13" s="32" t="n">
        <f aca="false">SUM(L2:L12)</f>
        <v>100</v>
      </c>
      <c r="M13" s="32" t="n">
        <f aca="false">SUM(M2:M12)</f>
        <v>19788</v>
      </c>
      <c r="N13" s="33" t="n">
        <f aca="false">M13/I13</f>
        <v>2.94815256257449</v>
      </c>
    </row>
    <row r="15" customFormat="false" ht="15" hidden="false" customHeight="false" outlineLevel="0" collapsed="false">
      <c r="A15" s="19" t="s">
        <v>334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2026-10-14T14:59:11Z</dcterms:created>
  <dc:creator>openpyxl</dc:creator>
  <dc:description/>
  <dc:language>en-US</dc:language>
  <cp:lastModifiedBy/>
  <dcterms:modified xsi:type="dcterms:W3CDTF">2026-10-14T14:59:11Z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